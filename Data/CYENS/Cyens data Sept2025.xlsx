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 (VScode)\GP 2026\Data\"/>
    </mc:Choice>
  </mc:AlternateContent>
  <xr:revisionPtr revIDLastSave="0" documentId="13_ncr:1_{7D953F77-01BB-414C-8BF3-6AEF3AFA8A5C}" xr6:coauthVersionLast="47" xr6:coauthVersionMax="47" xr10:uidLastSave="{00000000-0000-0000-0000-000000000000}"/>
  <bookViews>
    <workbookView xWindow="38280" yWindow="-120" windowWidth="38640" windowHeight="21120" xr2:uid="{80B1FEE0-69B2-4162-B883-FDA0E4A414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 a="1"/>
  <c r="R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Angelos Kyratzis</author>
  </authors>
  <commentList>
    <comment ref="D1" authorId="0" shapeId="0" xr:uid="{8F21C9C2-C1A0-4827-9B4A-A182B2B5EB05}">
      <text>
        <r>
          <rPr>
            <b/>
            <sz val="9"/>
            <color indexed="81"/>
            <rFont val="Tahoma"/>
            <charset val="1"/>
          </rPr>
          <t>Angelos Kyratzis:</t>
        </r>
        <r>
          <rPr>
            <sz val="9"/>
            <color indexed="81"/>
            <rFont val="Tahoma"/>
            <charset val="1"/>
          </rPr>
          <t xml:space="preserve">
T= triticale, M= bread wheat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<sst xmlns="http://schemas.openxmlformats.org/spreadsheetml/2006/main" count="117" uniqueCount="23">
  <si>
    <t>F.PLT</t>
  </si>
  <si>
    <t>Block</t>
  </si>
  <si>
    <t>VAR</t>
  </si>
  <si>
    <t>Species</t>
  </si>
  <si>
    <t>T</t>
  </si>
  <si>
    <t>M</t>
  </si>
  <si>
    <t>% (Ear to total fresh weight)</t>
  </si>
  <si>
    <t>%(Culm to total fresh weight)</t>
  </si>
  <si>
    <t>%(Leave to total fresh weight)</t>
  </si>
  <si>
    <t>% (Ear to total dry weight)</t>
  </si>
  <si>
    <t>%  (Culm to total dry weight)</t>
  </si>
  <si>
    <t>%  (Leave to total dry weight)</t>
  </si>
  <si>
    <t>%FRESH</t>
  </si>
  <si>
    <t>Fresh weight (kg per hectare)</t>
  </si>
  <si>
    <t>Dry weight (kg per hectare)</t>
  </si>
  <si>
    <t>Plant height</t>
  </si>
  <si>
    <t>No. of fertile tillers / ms</t>
  </si>
  <si>
    <t>Heading date (days from 1st of Feb)</t>
  </si>
  <si>
    <t>REP.I</t>
  </si>
  <si>
    <t>REP.II</t>
  </si>
  <si>
    <t>REP.III</t>
  </si>
  <si>
    <t>REP.IV</t>
  </si>
  <si>
    <t xml:space="preserve">wheat and triticale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</si>
</sst>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9BA5-68B8-48C5-B4E6-993A029D4FD6}">
  <dimension ref="A1:R81"/>
  <sheetViews>
    <sheetView tabSelected="1" topLeftCell="A4" zoomScale="74" workbookViewId="0">
      <selection activeCell="U19" sqref="U19"/>
    </sheetView>
  </sheetViews>
  <sheetFormatPr defaultRowHeight="15" x14ac:dyDescent="0.25"/>
  <cols>
    <col min="1" max="4" width="9.140625" style="1"/>
    <col min="5" max="5" width="16.42578125" style="1" customWidth="1"/>
    <col min="6" max="6" width="13.42578125" style="1" customWidth="1"/>
    <col min="7" max="7" width="21" style="1" customWidth="1"/>
    <col min="8" max="8" width="13.7109375" style="1" bestFit="1" customWidth="1"/>
    <col min="9" max="9" width="15.5703125" style="1" bestFit="1" customWidth="1"/>
    <col min="10" max="10" width="17.85546875" style="1" customWidth="1"/>
    <col min="11" max="11" width="13" customWidth="1"/>
    <col min="12" max="12" width="12.5703125" customWidth="1"/>
    <col min="14" max="14" width="16.28515625" style="1" customWidth="1"/>
    <col min="15" max="15" width="13.85546875" customWidth="1"/>
    <col min="16" max="16" width="13.28515625" style="1" customWidth="1"/>
  </cols>
  <sheetData>
    <row r="1" spans="1:18" s="2" customFormat="1" ht="48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14</v>
      </c>
      <c r="M1" s="2" t="s">
        <v>12</v>
      </c>
      <c r="N1" s="2" t="s">
        <v>15</v>
      </c>
      <c r="O1" s="2" t="s">
        <v>16</v>
      </c>
      <c r="P1" s="2" t="s">
        <v>17</v>
      </c>
      <c r="R1" s="2" t="e" cm="1">
        <f t="array" ref="R1">+B45A1:R45</f>
        <v>#NAME?</v>
      </c>
    </row>
    <row r="2" spans="1:18" x14ac:dyDescent="0.25">
      <c r="A2" s="1">
        <v>429</v>
      </c>
      <c r="B2" s="1">
        <v>1</v>
      </c>
      <c r="C2" s="1">
        <v>19</v>
      </c>
      <c r="D2" s="1" t="s">
        <v>4</v>
      </c>
      <c r="E2" s="1">
        <v>10.613399213340703</v>
      </c>
      <c r="F2" s="1">
        <v>55.352208822286521</v>
      </c>
      <c r="G2" s="1">
        <v>34.034391964372787</v>
      </c>
      <c r="H2" s="1">
        <v>10.104666719131187</v>
      </c>
      <c r="I2" s="1">
        <v>51.097820099157943</v>
      </c>
      <c r="J2" s="1">
        <v>38.797513181710862</v>
      </c>
      <c r="K2">
        <v>23142.904761904763</v>
      </c>
      <c r="L2">
        <v>9189.328504766072</v>
      </c>
      <c r="M2">
        <v>39.706893319167555</v>
      </c>
      <c r="N2" s="1">
        <v>74</v>
      </c>
      <c r="O2">
        <v>308.57142857142861</v>
      </c>
      <c r="P2" s="1">
        <v>49</v>
      </c>
    </row>
    <row r="3" spans="1:18" x14ac:dyDescent="0.25">
      <c r="A3" s="1">
        <v>430</v>
      </c>
      <c r="B3" s="1">
        <v>1</v>
      </c>
      <c r="C3" s="1">
        <v>11</v>
      </c>
      <c r="D3" s="1" t="s">
        <v>4</v>
      </c>
      <c r="E3" s="1">
        <v>6.4044362716929095</v>
      </c>
      <c r="F3" s="1">
        <v>58.085277554304106</v>
      </c>
      <c r="G3" s="1">
        <v>35.510286174002992</v>
      </c>
      <c r="H3" s="1">
        <v>6.7310549777117386</v>
      </c>
      <c r="I3" s="1">
        <v>56.13670133729569</v>
      </c>
      <c r="J3" s="1">
        <v>37.132243684992574</v>
      </c>
      <c r="K3">
        <v>24184.809523809527</v>
      </c>
      <c r="L3">
        <v>9102.6099264715685</v>
      </c>
      <c r="M3">
        <v>37.637716011408756</v>
      </c>
      <c r="N3" s="1">
        <v>78.333333333333329</v>
      </c>
      <c r="O3">
        <v>288.57142857142861</v>
      </c>
      <c r="P3" s="1">
        <v>54</v>
      </c>
    </row>
    <row r="4" spans="1:18" x14ac:dyDescent="0.25">
      <c r="A4" s="1">
        <v>431</v>
      </c>
      <c r="B4" s="1">
        <v>1</v>
      </c>
      <c r="C4" s="1">
        <v>2</v>
      </c>
      <c r="D4" s="1" t="s">
        <v>5</v>
      </c>
      <c r="E4" s="1">
        <v>10.039963806364046</v>
      </c>
      <c r="F4" s="1">
        <v>55.459206756145377</v>
      </c>
      <c r="G4" s="1">
        <v>34.50082943749058</v>
      </c>
      <c r="H4" s="1">
        <v>10.089865646409821</v>
      </c>
      <c r="I4" s="1">
        <v>51.935225553874901</v>
      </c>
      <c r="J4" s="1">
        <v>37.974908799715273</v>
      </c>
      <c r="K4">
        <v>18742.761904761905</v>
      </c>
      <c r="L4">
        <v>7745.6207180327647</v>
      </c>
      <c r="M4">
        <v>41.325930283865276</v>
      </c>
      <c r="N4" s="1">
        <v>61.333333333333336</v>
      </c>
      <c r="O4">
        <v>314.28571428571428</v>
      </c>
      <c r="P4" s="1">
        <v>55</v>
      </c>
    </row>
    <row r="5" spans="1:18" x14ac:dyDescent="0.25">
      <c r="A5" s="1">
        <v>432</v>
      </c>
      <c r="B5" s="1">
        <v>1</v>
      </c>
      <c r="C5" s="1">
        <v>14</v>
      </c>
      <c r="D5" s="1" t="s">
        <v>4</v>
      </c>
      <c r="E5" s="1">
        <v>11.51728255821668</v>
      </c>
      <c r="F5" s="1">
        <v>53.131427054999001</v>
      </c>
      <c r="G5" s="1">
        <v>35.351290386784321</v>
      </c>
      <c r="H5" s="1">
        <v>10.559188772136087</v>
      </c>
      <c r="I5" s="1">
        <v>49.555441252112573</v>
      </c>
      <c r="J5" s="1">
        <v>39.885369975751338</v>
      </c>
      <c r="K5">
        <v>24538.738095238095</v>
      </c>
      <c r="L5">
        <v>10903.702182325895</v>
      </c>
      <c r="M5">
        <v>44.434649165768761</v>
      </c>
      <c r="N5" s="1">
        <v>91</v>
      </c>
      <c r="O5">
        <v>451.42857142857144</v>
      </c>
      <c r="P5" s="1">
        <v>47</v>
      </c>
    </row>
    <row r="6" spans="1:18" x14ac:dyDescent="0.25">
      <c r="A6" s="1">
        <v>433</v>
      </c>
      <c r="B6" s="1">
        <v>1</v>
      </c>
      <c r="C6" s="1">
        <v>8</v>
      </c>
      <c r="D6" s="1" t="s">
        <v>5</v>
      </c>
      <c r="E6" s="1">
        <v>5.1213893319156494</v>
      </c>
      <c r="F6" s="1">
        <v>55.360623781676424</v>
      </c>
      <c r="G6" s="1">
        <v>39.517986886407947</v>
      </c>
      <c r="H6" s="1">
        <v>4.6249294980259448</v>
      </c>
      <c r="I6" s="1">
        <v>49.059973679263017</v>
      </c>
      <c r="J6" s="1">
        <v>46.315096822711041</v>
      </c>
      <c r="K6">
        <v>17213.690476190477</v>
      </c>
      <c r="L6">
        <v>7970.3695010104148</v>
      </c>
      <c r="M6">
        <v>46.302502720348201</v>
      </c>
      <c r="N6" s="1">
        <v>52.666666666666664</v>
      </c>
    </row>
    <row r="7" spans="1:18" x14ac:dyDescent="0.25">
      <c r="A7" s="1">
        <v>434</v>
      </c>
      <c r="B7" s="1">
        <v>1</v>
      </c>
      <c r="C7" s="1">
        <v>1</v>
      </c>
      <c r="D7" s="1" t="s">
        <v>5</v>
      </c>
      <c r="E7" s="1">
        <v>9.7522270710859456</v>
      </c>
      <c r="F7" s="1">
        <v>55.072672845962423</v>
      </c>
      <c r="G7" s="1">
        <v>35.175100082951637</v>
      </c>
      <c r="H7" s="1">
        <v>9.6595986676415624</v>
      </c>
      <c r="I7" s="1">
        <v>55.008530343650989</v>
      </c>
      <c r="J7" s="1">
        <v>35.33187098870745</v>
      </c>
      <c r="K7">
        <v>18774.095238095237</v>
      </c>
      <c r="L7">
        <v>8105.0202821869489</v>
      </c>
      <c r="M7">
        <v>43.171296296296298</v>
      </c>
      <c r="N7" s="1">
        <v>58.666666666666664</v>
      </c>
      <c r="O7">
        <v>311.42857142857144</v>
      </c>
      <c r="P7" s="1">
        <v>50</v>
      </c>
    </row>
    <row r="8" spans="1:18" x14ac:dyDescent="0.25">
      <c r="A8" s="1">
        <v>435</v>
      </c>
      <c r="B8" s="1">
        <v>1</v>
      </c>
      <c r="C8" s="1">
        <v>16</v>
      </c>
      <c r="D8" s="1" t="s">
        <v>4</v>
      </c>
      <c r="E8" s="1">
        <v>13.135192625856771</v>
      </c>
      <c r="F8" s="1">
        <v>50.649964547388329</v>
      </c>
      <c r="G8" s="1">
        <v>36.214842826754904</v>
      </c>
      <c r="H8" s="1">
        <v>12.253135361107107</v>
      </c>
      <c r="I8" s="1">
        <v>47.974628802075827</v>
      </c>
      <c r="J8" s="1">
        <v>39.772235836817075</v>
      </c>
      <c r="K8">
        <v>28923.333333333332</v>
      </c>
      <c r="L8">
        <v>11537.732221583285</v>
      </c>
      <c r="M8">
        <v>39.890741805635422</v>
      </c>
      <c r="N8" s="1">
        <v>92</v>
      </c>
      <c r="O8">
        <v>371.42857142857144</v>
      </c>
      <c r="P8" s="1">
        <v>47</v>
      </c>
    </row>
    <row r="9" spans="1:18" x14ac:dyDescent="0.25">
      <c r="A9" s="1">
        <v>436</v>
      </c>
      <c r="B9" s="1">
        <v>1</v>
      </c>
      <c r="C9" s="1">
        <v>6</v>
      </c>
      <c r="D9" s="1" t="s">
        <v>5</v>
      </c>
      <c r="E9" s="1">
        <v>13.548292216625612</v>
      </c>
      <c r="F9" s="1">
        <v>51.682047134085806</v>
      </c>
      <c r="G9" s="1">
        <v>34.769660649288575</v>
      </c>
      <c r="H9" s="1">
        <v>12.378017462763227</v>
      </c>
      <c r="I9" s="1">
        <v>49.221023797294983</v>
      </c>
      <c r="J9" s="1">
        <v>38.400958739941785</v>
      </c>
      <c r="K9">
        <v>19234.285714285714</v>
      </c>
      <c r="L9">
        <v>8070.9384236453197</v>
      </c>
      <c r="M9">
        <v>41.961206896551722</v>
      </c>
      <c r="N9" s="1">
        <v>53</v>
      </c>
      <c r="O9">
        <v>337.14285714285717</v>
      </c>
      <c r="P9" s="1">
        <v>54</v>
      </c>
    </row>
    <row r="10" spans="1:18" x14ac:dyDescent="0.25">
      <c r="A10" s="1">
        <v>437</v>
      </c>
      <c r="B10" s="1">
        <v>1</v>
      </c>
      <c r="C10" s="1">
        <v>9</v>
      </c>
      <c r="D10" s="1" t="s">
        <v>5</v>
      </c>
      <c r="E10" s="1">
        <v>11.157203664959237</v>
      </c>
      <c r="F10" s="1">
        <v>48.961113916744814</v>
      </c>
      <c r="G10" s="1">
        <v>39.881682418295931</v>
      </c>
      <c r="H10" s="1">
        <v>10.674525212835627</v>
      </c>
      <c r="I10" s="1">
        <v>47.450650201141364</v>
      </c>
      <c r="J10" s="1">
        <v>41.874824586023017</v>
      </c>
      <c r="K10">
        <v>23049.619047619046</v>
      </c>
      <c r="L10">
        <v>8772.873451075342</v>
      </c>
      <c r="M10">
        <v>38.060817547357914</v>
      </c>
      <c r="N10" s="1">
        <v>62.666666666666664</v>
      </c>
      <c r="O10">
        <v>317.14285714285717</v>
      </c>
      <c r="P10" s="1">
        <v>55</v>
      </c>
    </row>
    <row r="11" spans="1:18" x14ac:dyDescent="0.25">
      <c r="A11" s="1">
        <v>438</v>
      </c>
      <c r="B11" s="1">
        <v>1</v>
      </c>
      <c r="C11" s="1">
        <v>3</v>
      </c>
      <c r="D11" s="1" t="s">
        <v>5</v>
      </c>
      <c r="E11" s="1">
        <v>16.678585359511118</v>
      </c>
      <c r="F11" s="1">
        <v>48.956572617344953</v>
      </c>
      <c r="G11" s="1">
        <v>34.364842023143936</v>
      </c>
      <c r="H11" s="1">
        <v>16.306916653537105</v>
      </c>
      <c r="I11" s="1">
        <v>45.367890341893812</v>
      </c>
      <c r="J11" s="1">
        <v>38.325193004569087</v>
      </c>
      <c r="K11">
        <v>21711.976190476191</v>
      </c>
      <c r="L11">
        <v>8639.0566956682669</v>
      </c>
      <c r="M11">
        <v>39.789361502053097</v>
      </c>
      <c r="N11" s="1">
        <v>71</v>
      </c>
      <c r="O11">
        <v>342.85714285714289</v>
      </c>
      <c r="P11" s="1">
        <v>52</v>
      </c>
    </row>
    <row r="12" spans="1:18" x14ac:dyDescent="0.25">
      <c r="A12" s="1">
        <v>439</v>
      </c>
      <c r="B12" s="1">
        <v>1</v>
      </c>
      <c r="C12" s="1">
        <v>12</v>
      </c>
      <c r="D12" s="1" t="s">
        <v>4</v>
      </c>
      <c r="E12" s="1">
        <v>10.700152207001521</v>
      </c>
      <c r="F12" s="1">
        <v>63.254185692541853</v>
      </c>
      <c r="G12" s="1">
        <v>26.045662100456624</v>
      </c>
      <c r="H12" s="1">
        <v>9.8216895644548394</v>
      </c>
      <c r="I12" s="1">
        <v>60.128617363344048</v>
      </c>
      <c r="J12" s="1">
        <v>30.049693072201105</v>
      </c>
      <c r="K12">
        <v>20791.023809523806</v>
      </c>
      <c r="L12">
        <v>8563.476200509398</v>
      </c>
      <c r="M12">
        <v>41.188333383499383</v>
      </c>
      <c r="N12" s="1">
        <v>94</v>
      </c>
      <c r="O12">
        <v>242.85714285714286</v>
      </c>
      <c r="P12" s="1">
        <v>46</v>
      </c>
    </row>
    <row r="13" spans="1:18" x14ac:dyDescent="0.25">
      <c r="A13" s="1">
        <v>440</v>
      </c>
      <c r="B13" s="1">
        <v>1</v>
      </c>
      <c r="C13" s="1">
        <v>7</v>
      </c>
      <c r="D13" s="1" t="s">
        <v>5</v>
      </c>
      <c r="E13" s="1">
        <v>2.9221008107155435</v>
      </c>
      <c r="F13" s="1">
        <v>51.304194571730697</v>
      </c>
      <c r="G13" s="1">
        <v>45.773704617553754</v>
      </c>
      <c r="H13" s="1">
        <v>2.3046566692975534</v>
      </c>
      <c r="I13" s="1">
        <v>47.861089187056038</v>
      </c>
      <c r="J13" s="1">
        <v>49.834254143646405</v>
      </c>
      <c r="K13">
        <v>16408.309523809523</v>
      </c>
      <c r="L13">
        <v>7132.089665740391</v>
      </c>
      <c r="M13">
        <v>43.466328175923699</v>
      </c>
      <c r="N13" s="1">
        <v>51</v>
      </c>
    </row>
    <row r="14" spans="1:18" x14ac:dyDescent="0.25">
      <c r="A14" s="1">
        <v>441</v>
      </c>
      <c r="B14" s="1">
        <v>1</v>
      </c>
      <c r="C14" s="1">
        <v>13</v>
      </c>
      <c r="D14" s="1" t="s">
        <v>4</v>
      </c>
      <c r="E14" s="1">
        <v>7.4924763914351917</v>
      </c>
      <c r="F14" s="1">
        <v>57.968106817945966</v>
      </c>
      <c r="G14" s="1">
        <v>34.53941679061883</v>
      </c>
      <c r="H14" s="1">
        <v>7.04191229911976</v>
      </c>
      <c r="I14" s="1">
        <v>52.765888718404263</v>
      </c>
      <c r="J14" s="1">
        <v>40.192198982475972</v>
      </c>
      <c r="K14">
        <v>20714.238095238092</v>
      </c>
      <c r="L14">
        <v>8550.7170589150373</v>
      </c>
      <c r="M14">
        <v>41.279418627908527</v>
      </c>
      <c r="N14" s="1">
        <v>92.666666666666671</v>
      </c>
      <c r="O14">
        <v>234.28571428571431</v>
      </c>
      <c r="P14" s="1">
        <v>49</v>
      </c>
    </row>
    <row r="15" spans="1:18" x14ac:dyDescent="0.25">
      <c r="A15" s="1">
        <v>442</v>
      </c>
      <c r="B15" s="1">
        <v>1</v>
      </c>
      <c r="C15" s="1">
        <v>4</v>
      </c>
      <c r="D15" s="1" t="s">
        <v>5</v>
      </c>
      <c r="E15" s="1">
        <v>7.5093082500489921</v>
      </c>
      <c r="F15" s="1">
        <v>57.503429355281213</v>
      </c>
      <c r="G15" s="1">
        <v>34.987262394669806</v>
      </c>
      <c r="H15" s="1">
        <v>6.724760144353489</v>
      </c>
      <c r="I15" s="1">
        <v>55.047971129301999</v>
      </c>
      <c r="J15" s="1">
        <v>38.227268726344505</v>
      </c>
      <c r="K15">
        <v>21094.166666666664</v>
      </c>
      <c r="L15">
        <v>9233.3202658447317</v>
      </c>
      <c r="M15">
        <v>43.771912926218462</v>
      </c>
      <c r="N15" s="1">
        <v>74</v>
      </c>
      <c r="O15">
        <v>208.57142857142858</v>
      </c>
      <c r="P15" s="1">
        <v>54</v>
      </c>
    </row>
    <row r="16" spans="1:18" x14ac:dyDescent="0.25">
      <c r="A16" s="1">
        <v>443</v>
      </c>
      <c r="B16" s="1">
        <v>1</v>
      </c>
      <c r="C16" s="1">
        <v>10</v>
      </c>
      <c r="D16" s="1" t="s">
        <v>5</v>
      </c>
      <c r="E16" s="1">
        <v>3.5939311457230705</v>
      </c>
      <c r="F16" s="1">
        <v>50.335198346690866</v>
      </c>
      <c r="G16" s="1">
        <v>46.070870507586079</v>
      </c>
      <c r="H16" s="1">
        <v>2.9384650841207662</v>
      </c>
      <c r="I16" s="1">
        <v>44.537911961281402</v>
      </c>
      <c r="J16" s="1">
        <v>52.523622954597826</v>
      </c>
      <c r="K16">
        <v>14292.619047619048</v>
      </c>
      <c r="L16">
        <v>6112.9299209087258</v>
      </c>
      <c r="M16">
        <v>42.769837358304571</v>
      </c>
      <c r="N16" s="1">
        <v>41.666666666666664</v>
      </c>
    </row>
    <row r="17" spans="1:16" x14ac:dyDescent="0.25">
      <c r="A17" s="1">
        <v>444</v>
      </c>
      <c r="B17" s="1">
        <v>1</v>
      </c>
      <c r="C17" s="1">
        <v>15</v>
      </c>
      <c r="D17" s="1" t="s">
        <v>4</v>
      </c>
      <c r="E17" s="1">
        <v>4.500232843656069</v>
      </c>
      <c r="F17" s="1">
        <v>55.861309851403405</v>
      </c>
      <c r="G17" s="1">
        <v>39.638457304940523</v>
      </c>
      <c r="H17" s="1">
        <v>4.0926929545879283</v>
      </c>
      <c r="I17" s="1">
        <v>50.009344047841523</v>
      </c>
      <c r="J17" s="1">
        <v>45.897962997570538</v>
      </c>
      <c r="K17">
        <v>11053.642857142855</v>
      </c>
      <c r="L17">
        <v>4877.5856948477649</v>
      </c>
      <c r="M17">
        <v>44.126499814455947</v>
      </c>
      <c r="N17" s="1">
        <v>66.666666666666671</v>
      </c>
    </row>
    <row r="18" spans="1:16" x14ac:dyDescent="0.25">
      <c r="A18" s="1">
        <v>445</v>
      </c>
      <c r="B18" s="1">
        <v>1</v>
      </c>
      <c r="C18" s="1">
        <v>17</v>
      </c>
      <c r="D18" s="1" t="s">
        <v>4</v>
      </c>
      <c r="E18" s="1">
        <v>9.476287956328898</v>
      </c>
      <c r="F18" s="1">
        <v>51.658990105765945</v>
      </c>
      <c r="G18" s="1">
        <v>38.864721937905152</v>
      </c>
      <c r="H18" s="1">
        <v>9.3981775799957639</v>
      </c>
      <c r="I18" s="1">
        <v>46.333969061241788</v>
      </c>
      <c r="J18" s="1">
        <v>44.267853358762451</v>
      </c>
      <c r="K18">
        <v>20106.452380952378</v>
      </c>
      <c r="L18">
        <v>7754.6768653274703</v>
      </c>
      <c r="M18">
        <v>38.56810101753095</v>
      </c>
      <c r="N18" s="1">
        <v>67</v>
      </c>
      <c r="O18">
        <v>280</v>
      </c>
      <c r="P18" s="1">
        <v>55</v>
      </c>
    </row>
    <row r="19" spans="1:16" x14ac:dyDescent="0.25">
      <c r="A19" s="1">
        <v>446</v>
      </c>
      <c r="B19" s="1">
        <v>1</v>
      </c>
      <c r="C19" s="1">
        <v>18</v>
      </c>
      <c r="D19" s="1" t="s">
        <v>4</v>
      </c>
      <c r="E19" s="1">
        <v>14.354700980536498</v>
      </c>
      <c r="F19" s="1">
        <v>53.028473837637293</v>
      </c>
      <c r="G19" s="1">
        <v>32.616825181826208</v>
      </c>
      <c r="H19" s="1">
        <v>13.07127312295974</v>
      </c>
      <c r="I19" s="1">
        <v>49.585146898803046</v>
      </c>
      <c r="J19" s="1">
        <v>37.343579978237216</v>
      </c>
      <c r="K19">
        <v>26539.809523809523</v>
      </c>
      <c r="L19">
        <v>11255.230711758628</v>
      </c>
      <c r="M19">
        <v>42.408860175357631</v>
      </c>
      <c r="N19" s="1">
        <v>82.666666666666671</v>
      </c>
      <c r="O19">
        <v>351.42857142857144</v>
      </c>
      <c r="P19" s="1">
        <v>48</v>
      </c>
    </row>
    <row r="20" spans="1:16" x14ac:dyDescent="0.25">
      <c r="A20" s="1">
        <v>447</v>
      </c>
      <c r="B20" s="1">
        <v>1</v>
      </c>
      <c r="C20" s="1">
        <v>20</v>
      </c>
      <c r="D20" s="1" t="s">
        <v>4</v>
      </c>
      <c r="E20" s="1">
        <v>12.583553285572274</v>
      </c>
      <c r="F20" s="1">
        <v>54.529873513179993</v>
      </c>
      <c r="G20" s="1">
        <v>32.886573201247728</v>
      </c>
      <c r="H20" s="1">
        <v>11.773812433797767</v>
      </c>
      <c r="I20" s="1">
        <v>53.043265705206558</v>
      </c>
      <c r="J20" s="1">
        <v>35.182921860995684</v>
      </c>
      <c r="K20">
        <v>20227.047619047618</v>
      </c>
      <c r="L20">
        <v>8404.8806686271473</v>
      </c>
      <c r="M20">
        <v>41.552681473456119</v>
      </c>
      <c r="N20" s="1">
        <v>76</v>
      </c>
      <c r="O20">
        <v>337.14285714285717</v>
      </c>
      <c r="P20" s="1">
        <v>53</v>
      </c>
    </row>
    <row r="21" spans="1:16" x14ac:dyDescent="0.25">
      <c r="A21" s="1">
        <v>448</v>
      </c>
      <c r="B21" s="1">
        <v>1</v>
      </c>
      <c r="C21" s="1">
        <v>5</v>
      </c>
      <c r="D21" s="1" t="s">
        <v>5</v>
      </c>
      <c r="E21" s="1">
        <v>4.0893218158426761</v>
      </c>
      <c r="F21" s="1">
        <v>49.728910126814924</v>
      </c>
      <c r="G21" s="1">
        <v>46.181768057342396</v>
      </c>
      <c r="H21" s="1">
        <v>3.5139842229279785</v>
      </c>
      <c r="I21" s="1">
        <v>45.056858928388479</v>
      </c>
      <c r="J21" s="1">
        <v>51.429156848683547</v>
      </c>
      <c r="K21">
        <v>14337.190476190475</v>
      </c>
      <c r="L21">
        <v>6314.6519374648142</v>
      </c>
      <c r="M21">
        <v>44.043858857503835</v>
      </c>
      <c r="N21" s="1">
        <v>74</v>
      </c>
      <c r="O21">
        <v>248.57142857142858</v>
      </c>
    </row>
    <row r="22" spans="1:16" x14ac:dyDescent="0.25">
      <c r="A22" s="1">
        <v>449</v>
      </c>
      <c r="B22" s="1">
        <v>2</v>
      </c>
      <c r="C22" s="1">
        <v>3</v>
      </c>
      <c r="D22" s="1" t="s">
        <v>5</v>
      </c>
      <c r="E22" s="1">
        <v>4.9073887658546402</v>
      </c>
      <c r="F22" s="1">
        <v>55.607006241191868</v>
      </c>
      <c r="G22" s="1">
        <v>39.48560499295349</v>
      </c>
      <c r="H22" s="1">
        <v>4.3865293865293857</v>
      </c>
      <c r="I22" s="1">
        <v>53.528528528528518</v>
      </c>
      <c r="J22" s="1">
        <v>42.084942084942085</v>
      </c>
      <c r="K22">
        <v>16217.095238095239</v>
      </c>
      <c r="L22">
        <v>7160.157022445308</v>
      </c>
      <c r="M22">
        <v>44.151908324651956</v>
      </c>
      <c r="N22" s="1">
        <v>62</v>
      </c>
    </row>
    <row r="23" spans="1:16" x14ac:dyDescent="0.25">
      <c r="A23" s="1">
        <v>450</v>
      </c>
      <c r="B23" s="1">
        <v>2</v>
      </c>
      <c r="C23" s="1">
        <v>9</v>
      </c>
      <c r="D23" s="1" t="s">
        <v>5</v>
      </c>
      <c r="E23" s="1">
        <v>6.5503277251283754</v>
      </c>
      <c r="F23" s="1">
        <v>46.11113430468</v>
      </c>
      <c r="G23" s="1">
        <v>47.338537970191624</v>
      </c>
      <c r="H23" s="1">
        <v>5.9191804211724524</v>
      </c>
      <c r="I23" s="1">
        <v>41.927527983304877</v>
      </c>
      <c r="J23" s="1">
        <v>52.153291595522667</v>
      </c>
      <c r="K23">
        <v>15351.047619047617</v>
      </c>
      <c r="L23">
        <v>6540.2014225670873</v>
      </c>
      <c r="M23">
        <v>42.604267701260916</v>
      </c>
      <c r="N23" s="1">
        <v>53</v>
      </c>
    </row>
    <row r="24" spans="1:16" x14ac:dyDescent="0.25">
      <c r="A24" s="1">
        <v>451</v>
      </c>
      <c r="B24" s="1">
        <v>2</v>
      </c>
      <c r="C24" s="1">
        <v>7</v>
      </c>
      <c r="D24" s="1" t="s">
        <v>5</v>
      </c>
      <c r="E24" s="1">
        <v>3.4883720930232558</v>
      </c>
      <c r="F24" s="1">
        <v>52.755594559017119</v>
      </c>
      <c r="G24" s="1">
        <v>43.75603334795963</v>
      </c>
      <c r="H24" s="1">
        <v>2.6007928067291881</v>
      </c>
      <c r="I24" s="1">
        <v>49.676109446002123</v>
      </c>
      <c r="J24" s="1">
        <v>47.723097747268675</v>
      </c>
      <c r="K24">
        <v>15325.190476190477</v>
      </c>
      <c r="L24">
        <v>6699.9934523306329</v>
      </c>
      <c r="M24">
        <v>43.718826612562353</v>
      </c>
      <c r="N24" s="1">
        <v>53.333333333333336</v>
      </c>
    </row>
    <row r="25" spans="1:16" x14ac:dyDescent="0.25">
      <c r="A25" s="1">
        <v>452</v>
      </c>
      <c r="B25" s="1">
        <v>2</v>
      </c>
      <c r="C25" s="1">
        <v>5</v>
      </c>
      <c r="D25" s="1" t="s">
        <v>5</v>
      </c>
      <c r="E25" s="1">
        <v>4.9465190467254638</v>
      </c>
      <c r="F25" s="1">
        <v>57.384124601238497</v>
      </c>
      <c r="G25" s="1">
        <v>37.669356352036026</v>
      </c>
      <c r="H25" s="1">
        <v>4.6739706661954399</v>
      </c>
      <c r="I25" s="1">
        <v>52.703657890086589</v>
      </c>
      <c r="J25" s="1">
        <v>42.622371443717974</v>
      </c>
      <c r="K25">
        <v>16855.142857142859</v>
      </c>
      <c r="L25">
        <v>6833.5903015167969</v>
      </c>
      <c r="M25">
        <v>40.543057744662562</v>
      </c>
      <c r="N25" s="1">
        <v>78.333333333333329</v>
      </c>
      <c r="O25">
        <v>240.00000000000003</v>
      </c>
      <c r="P25" s="1">
        <v>55</v>
      </c>
    </row>
    <row r="26" spans="1:16" x14ac:dyDescent="0.25">
      <c r="A26" s="1">
        <v>453</v>
      </c>
      <c r="B26" s="1">
        <v>2</v>
      </c>
      <c r="C26" s="1">
        <v>19</v>
      </c>
      <c r="D26" s="1" t="s">
        <v>4</v>
      </c>
      <c r="E26" s="1">
        <v>7.8741563403921004</v>
      </c>
      <c r="F26" s="1">
        <v>56.786772845766521</v>
      </c>
      <c r="G26" s="1">
        <v>35.339070813841367</v>
      </c>
      <c r="H26" s="1">
        <v>7.2555987108503448</v>
      </c>
      <c r="I26" s="1">
        <v>52.351045368151397</v>
      </c>
      <c r="J26" s="1">
        <v>40.393355920998268</v>
      </c>
      <c r="K26">
        <v>17347.857142857141</v>
      </c>
      <c r="L26">
        <v>7337.5190243171692</v>
      </c>
      <c r="M26">
        <v>42.296399860188735</v>
      </c>
      <c r="N26" s="1">
        <v>64.666666666666671</v>
      </c>
      <c r="P26" s="1">
        <v>52</v>
      </c>
    </row>
    <row r="27" spans="1:16" x14ac:dyDescent="0.25">
      <c r="A27" s="1">
        <v>454</v>
      </c>
      <c r="B27" s="1">
        <v>2</v>
      </c>
      <c r="C27" s="1">
        <v>10</v>
      </c>
      <c r="D27" s="1" t="s">
        <v>5</v>
      </c>
      <c r="E27" s="1">
        <v>6.4467910699648012</v>
      </c>
      <c r="F27" s="1">
        <v>49.298423260523649</v>
      </c>
      <c r="G27" s="1">
        <v>44.254785669511556</v>
      </c>
      <c r="H27" s="1">
        <v>5.3892864888310568</v>
      </c>
      <c r="I27" s="1">
        <v>45.554109737584035</v>
      </c>
      <c r="J27" s="1">
        <v>49.056603773584904</v>
      </c>
      <c r="K27">
        <v>13841.095238095239</v>
      </c>
      <c r="L27">
        <v>5985.303398936242</v>
      </c>
      <c r="M27">
        <v>43.242989777736099</v>
      </c>
      <c r="N27" s="1">
        <v>40</v>
      </c>
      <c r="P27" s="1">
        <v>55</v>
      </c>
    </row>
    <row r="28" spans="1:16" x14ac:dyDescent="0.25">
      <c r="A28" s="1">
        <v>455</v>
      </c>
      <c r="B28" s="1">
        <v>2</v>
      </c>
      <c r="C28" s="1">
        <v>16</v>
      </c>
      <c r="D28" s="1" t="s">
        <v>4</v>
      </c>
      <c r="E28" s="1">
        <v>13.907303856574623</v>
      </c>
      <c r="F28" s="1">
        <v>54.300455410157376</v>
      </c>
      <c r="G28" s="1">
        <v>31.792240733268002</v>
      </c>
      <c r="H28" s="1">
        <v>13.374485596707819</v>
      </c>
      <c r="I28" s="1">
        <v>50.326380019866612</v>
      </c>
      <c r="J28" s="1">
        <v>36.299134383425567</v>
      </c>
      <c r="K28">
        <v>28478.499999999996</v>
      </c>
      <c r="L28">
        <v>11119.372219298</v>
      </c>
      <c r="M28">
        <v>39.044795966423798</v>
      </c>
      <c r="N28" s="1">
        <v>94.666666666666671</v>
      </c>
      <c r="O28">
        <v>317.14285714285717</v>
      </c>
      <c r="P28" s="1">
        <v>48</v>
      </c>
    </row>
    <row r="29" spans="1:16" x14ac:dyDescent="0.25">
      <c r="A29" s="1">
        <v>456</v>
      </c>
      <c r="B29" s="1">
        <v>2</v>
      </c>
      <c r="C29" s="1">
        <v>14</v>
      </c>
      <c r="D29" s="1" t="s">
        <v>4</v>
      </c>
      <c r="E29" s="1">
        <v>11.245288287030574</v>
      </c>
      <c r="F29" s="1">
        <v>56.254362697193919</v>
      </c>
      <c r="G29" s="1">
        <v>32.500349015775512</v>
      </c>
      <c r="H29" s="1">
        <v>10.781122864117169</v>
      </c>
      <c r="I29" s="1">
        <v>51.61106590724166</v>
      </c>
      <c r="J29" s="1">
        <v>37.607811228641168</v>
      </c>
      <c r="K29">
        <v>25471.071428571428</v>
      </c>
      <c r="L29">
        <v>10509.970382982805</v>
      </c>
      <c r="M29">
        <v>41.262380392815174</v>
      </c>
      <c r="N29" s="1">
        <v>97.333333333333329</v>
      </c>
      <c r="O29">
        <v>348.57142857142861</v>
      </c>
      <c r="P29" s="1">
        <v>48</v>
      </c>
    </row>
    <row r="30" spans="1:16" x14ac:dyDescent="0.25">
      <c r="A30" s="1">
        <v>457</v>
      </c>
      <c r="B30" s="1">
        <v>2</v>
      </c>
      <c r="C30" s="1">
        <v>1</v>
      </c>
      <c r="D30" s="1" t="s">
        <v>5</v>
      </c>
      <c r="E30" s="1">
        <v>12.052166092040174</v>
      </c>
      <c r="F30" s="1">
        <v>53.710088442512372</v>
      </c>
      <c r="G30" s="1">
        <v>34.23774546544746</v>
      </c>
      <c r="H30" s="1">
        <v>11.688311688311687</v>
      </c>
      <c r="I30" s="1">
        <v>53.075871496924123</v>
      </c>
      <c r="J30" s="1">
        <v>35.235816814764185</v>
      </c>
      <c r="K30">
        <v>19700.476190476191</v>
      </c>
      <c r="L30">
        <v>8408.9851689764164</v>
      </c>
      <c r="M30">
        <v>42.68417213712619</v>
      </c>
      <c r="N30" s="1">
        <v>57.666666666666664</v>
      </c>
      <c r="O30">
        <v>302.85714285714289</v>
      </c>
      <c r="P30" s="1">
        <v>52</v>
      </c>
    </row>
    <row r="31" spans="1:16" x14ac:dyDescent="0.25">
      <c r="A31" s="1">
        <v>458</v>
      </c>
      <c r="B31" s="1">
        <v>2</v>
      </c>
      <c r="C31" s="1">
        <v>18</v>
      </c>
      <c r="D31" s="1" t="s">
        <v>4</v>
      </c>
      <c r="E31" s="1">
        <v>14.822675980655561</v>
      </c>
      <c r="F31" s="1">
        <v>54.150994089199358</v>
      </c>
      <c r="G31" s="1">
        <v>31.026329930145081</v>
      </c>
      <c r="H31" s="1">
        <v>13.236782190741209</v>
      </c>
      <c r="I31" s="1">
        <v>49.449784973437893</v>
      </c>
      <c r="J31" s="1">
        <v>37.31343283582089</v>
      </c>
      <c r="K31">
        <v>23756.761904761901</v>
      </c>
      <c r="L31">
        <v>9941.8250909934141</v>
      </c>
      <c r="M31">
        <v>41.84840143976286</v>
      </c>
      <c r="N31" s="1">
        <v>87</v>
      </c>
      <c r="O31">
        <v>328.57142857142861</v>
      </c>
      <c r="P31" s="1">
        <v>48</v>
      </c>
    </row>
    <row r="32" spans="1:16" x14ac:dyDescent="0.25">
      <c r="A32" s="1">
        <v>459</v>
      </c>
      <c r="B32" s="1">
        <v>2</v>
      </c>
      <c r="C32" s="1">
        <v>2</v>
      </c>
      <c r="D32" s="1" t="s">
        <v>5</v>
      </c>
      <c r="E32" s="1">
        <v>8.2514481870843159</v>
      </c>
      <c r="F32" s="1">
        <v>51.795751984552666</v>
      </c>
      <c r="G32" s="1">
        <v>39.952799828363013</v>
      </c>
      <c r="H32" s="1">
        <v>8.2568807339449535</v>
      </c>
      <c r="I32" s="1">
        <v>48.214998005584363</v>
      </c>
      <c r="J32" s="1">
        <v>43.528121260470684</v>
      </c>
      <c r="K32">
        <v>19617.642857142859</v>
      </c>
      <c r="L32">
        <v>8217.1054914760698</v>
      </c>
      <c r="M32">
        <v>41.886303830249361</v>
      </c>
      <c r="N32" s="1">
        <v>63.333333333333336</v>
      </c>
      <c r="O32">
        <v>277.14285714285717</v>
      </c>
      <c r="P32" s="1">
        <v>54</v>
      </c>
    </row>
    <row r="33" spans="1:16" x14ac:dyDescent="0.25">
      <c r="A33" s="1">
        <v>460</v>
      </c>
      <c r="B33" s="1">
        <v>2</v>
      </c>
      <c r="C33" s="1">
        <v>12</v>
      </c>
      <c r="D33" s="1" t="s">
        <v>4</v>
      </c>
      <c r="E33" s="1">
        <v>8.9492283065027642</v>
      </c>
      <c r="F33" s="1">
        <v>66.220665075961222</v>
      </c>
      <c r="G33" s="1">
        <v>24.830106617536018</v>
      </c>
      <c r="H33" s="1">
        <v>8.0220409331615858</v>
      </c>
      <c r="I33" s="1">
        <v>64.004579934163445</v>
      </c>
      <c r="J33" s="1">
        <v>27.973379132674971</v>
      </c>
      <c r="K33">
        <v>24127.190476190473</v>
      </c>
      <c r="L33">
        <v>10111.971678792084</v>
      </c>
      <c r="M33">
        <v>41.91110311319057</v>
      </c>
      <c r="N33" s="1">
        <v>86.333333333333329</v>
      </c>
      <c r="O33">
        <v>240.00000000000003</v>
      </c>
      <c r="P33" s="1">
        <v>49</v>
      </c>
    </row>
    <row r="34" spans="1:16" x14ac:dyDescent="0.25">
      <c r="A34" s="1">
        <v>461</v>
      </c>
      <c r="B34" s="1">
        <v>2</v>
      </c>
      <c r="C34" s="1">
        <v>11</v>
      </c>
      <c r="D34" s="1" t="s">
        <v>4</v>
      </c>
      <c r="E34" s="1">
        <v>3.4452484030153494</v>
      </c>
      <c r="F34" s="1">
        <v>53.004753110714177</v>
      </c>
      <c r="G34" s="1">
        <v>43.549998486270468</v>
      </c>
      <c r="H34" s="1">
        <v>3.7357666510684751</v>
      </c>
      <c r="I34" s="1">
        <v>50.24177195445327</v>
      </c>
      <c r="J34" s="1">
        <v>46.022461394478235</v>
      </c>
      <c r="K34">
        <v>24615.809523809523</v>
      </c>
      <c r="L34">
        <v>9320.3375181397878</v>
      </c>
      <c r="M34">
        <v>37.863217576187111</v>
      </c>
      <c r="N34" s="1">
        <v>76.666666666666671</v>
      </c>
      <c r="O34">
        <v>165.71428571428572</v>
      </c>
      <c r="P34" s="1">
        <v>51</v>
      </c>
    </row>
    <row r="35" spans="1:16" x14ac:dyDescent="0.25">
      <c r="A35" s="1">
        <v>462</v>
      </c>
      <c r="B35" s="1">
        <v>2</v>
      </c>
      <c r="C35" s="1">
        <v>4</v>
      </c>
      <c r="D35" s="1" t="s">
        <v>5</v>
      </c>
      <c r="E35" s="1">
        <v>11.417929617261752</v>
      </c>
      <c r="F35" s="1">
        <v>57.919342409452859</v>
      </c>
      <c r="G35" s="1">
        <v>30.662727973285385</v>
      </c>
      <c r="H35" s="1">
        <v>10.756571157944588</v>
      </c>
      <c r="I35" s="1">
        <v>55.191806772436657</v>
      </c>
      <c r="J35" s="1">
        <v>34.051622069618745</v>
      </c>
      <c r="K35">
        <v>21910.142857142859</v>
      </c>
      <c r="L35">
        <v>9200.6695456385733</v>
      </c>
      <c r="M35">
        <v>41.992741013275001</v>
      </c>
      <c r="N35" s="1">
        <v>80</v>
      </c>
      <c r="O35">
        <v>194.28571428571431</v>
      </c>
      <c r="P35" s="1">
        <v>53</v>
      </c>
    </row>
    <row r="36" spans="1:16" x14ac:dyDescent="0.25">
      <c r="A36" s="1">
        <v>463</v>
      </c>
      <c r="B36" s="1">
        <v>2</v>
      </c>
      <c r="C36" s="1">
        <v>15</v>
      </c>
      <c r="D36" s="1" t="s">
        <v>4</v>
      </c>
      <c r="E36" s="1">
        <v>4.6604424127377673</v>
      </c>
      <c r="F36" s="1">
        <v>57.839073335141208</v>
      </c>
      <c r="G36" s="1">
        <v>37.500484252121026</v>
      </c>
      <c r="H36" s="1">
        <v>4.4646803996109981</v>
      </c>
      <c r="I36" s="1">
        <v>51.454336486605953</v>
      </c>
      <c r="J36" s="1">
        <v>44.080983113783049</v>
      </c>
      <c r="K36">
        <v>20149.238095238095</v>
      </c>
      <c r="L36">
        <v>8676.2613101582938</v>
      </c>
      <c r="M36">
        <v>43.059996954469312</v>
      </c>
      <c r="N36" s="1">
        <v>77.666666666666671</v>
      </c>
      <c r="O36">
        <v>188.57142857142858</v>
      </c>
      <c r="P36" s="1">
        <v>53</v>
      </c>
    </row>
    <row r="37" spans="1:16" x14ac:dyDescent="0.25">
      <c r="A37" s="1">
        <v>464</v>
      </c>
      <c r="B37" s="1">
        <v>2</v>
      </c>
      <c r="C37" s="1">
        <v>8</v>
      </c>
      <c r="D37" s="1" t="s">
        <v>5</v>
      </c>
      <c r="E37" s="1">
        <v>11.811662833175484</v>
      </c>
      <c r="F37" s="1">
        <v>54.694899201731836</v>
      </c>
      <c r="G37" s="1">
        <v>33.493437965092681</v>
      </c>
      <c r="H37" s="1">
        <v>11.597158731275053</v>
      </c>
      <c r="I37" s="1">
        <v>51.149869892397504</v>
      </c>
      <c r="J37" s="1">
        <v>37.252971376327451</v>
      </c>
      <c r="K37">
        <v>18341.595238095237</v>
      </c>
      <c r="L37">
        <v>8593.9019570460387</v>
      </c>
      <c r="M37">
        <v>46.854713810261309</v>
      </c>
      <c r="N37" s="1">
        <v>60.333333333333336</v>
      </c>
      <c r="O37">
        <v>217.14285714285717</v>
      </c>
      <c r="P37" s="1">
        <v>53</v>
      </c>
    </row>
    <row r="38" spans="1:16" x14ac:dyDescent="0.25">
      <c r="A38" s="1">
        <v>465</v>
      </c>
      <c r="B38" s="1">
        <v>2</v>
      </c>
      <c r="C38" s="1">
        <v>20</v>
      </c>
      <c r="D38" s="1" t="s">
        <v>4</v>
      </c>
      <c r="E38" s="1">
        <v>15.811394487865075</v>
      </c>
      <c r="F38" s="1">
        <v>52.540106951871657</v>
      </c>
      <c r="G38" s="1">
        <v>31.64849856026326</v>
      </c>
      <c r="H38" s="1">
        <v>14.949349637355391</v>
      </c>
      <c r="I38" s="1">
        <v>49.373613858418757</v>
      </c>
      <c r="J38" s="1">
        <v>35.67703650422586</v>
      </c>
      <c r="K38">
        <v>25223.928571428569</v>
      </c>
      <c r="L38">
        <v>10679.121947903635</v>
      </c>
      <c r="M38">
        <v>42.337266844309092</v>
      </c>
      <c r="N38" s="1">
        <v>83</v>
      </c>
      <c r="O38">
        <v>382.85714285714289</v>
      </c>
      <c r="P38" s="1">
        <v>53</v>
      </c>
    </row>
    <row r="39" spans="1:16" x14ac:dyDescent="0.25">
      <c r="A39" s="1">
        <v>466</v>
      </c>
      <c r="B39" s="1">
        <v>2</v>
      </c>
      <c r="C39" s="1">
        <v>6</v>
      </c>
      <c r="D39" s="1" t="s">
        <v>5</v>
      </c>
      <c r="E39" s="1">
        <v>11.415508412582298</v>
      </c>
      <c r="F39" s="1">
        <v>48.108997805413317</v>
      </c>
      <c r="G39" s="1">
        <v>40.475493782004392</v>
      </c>
      <c r="H39" s="1">
        <v>10.928319623971799</v>
      </c>
      <c r="I39" s="1">
        <v>44.68692294779251</v>
      </c>
      <c r="J39" s="1">
        <v>44.38475742823568</v>
      </c>
      <c r="K39">
        <v>24002.166666666668</v>
      </c>
      <c r="L39">
        <v>10179.837444970512</v>
      </c>
      <c r="M39">
        <v>42.412160478445045</v>
      </c>
      <c r="N39" s="1">
        <v>64.333333333333329</v>
      </c>
      <c r="O39">
        <v>240.00000000000003</v>
      </c>
      <c r="P39" s="1">
        <v>56</v>
      </c>
    </row>
    <row r="40" spans="1:16" x14ac:dyDescent="0.25">
      <c r="A40" s="1">
        <v>467</v>
      </c>
      <c r="B40" s="1">
        <v>2</v>
      </c>
      <c r="C40" s="1">
        <v>13</v>
      </c>
      <c r="D40" s="1" t="s">
        <v>4</v>
      </c>
      <c r="E40" s="1">
        <v>12.389513672095385</v>
      </c>
      <c r="F40" s="1">
        <v>56.854853875954412</v>
      </c>
      <c r="G40" s="1">
        <v>30.755632451950198</v>
      </c>
      <c r="H40" s="1">
        <v>12.009629101283879</v>
      </c>
      <c r="I40" s="1">
        <v>53.52175463623395</v>
      </c>
      <c r="J40" s="1">
        <v>34.468616262482165</v>
      </c>
      <c r="K40">
        <v>23499.142857142855</v>
      </c>
      <c r="L40">
        <v>9774.7510119312519</v>
      </c>
      <c r="M40">
        <v>41.596202343865897</v>
      </c>
      <c r="N40" s="1">
        <v>88.333333333333329</v>
      </c>
      <c r="O40">
        <v>211.42857142857144</v>
      </c>
      <c r="P40" s="1">
        <v>49</v>
      </c>
    </row>
    <row r="41" spans="1:16" x14ac:dyDescent="0.25">
      <c r="A41" s="1">
        <v>468</v>
      </c>
      <c r="B41" s="1">
        <v>2</v>
      </c>
      <c r="C41" s="1">
        <v>17</v>
      </c>
      <c r="D41" s="1" t="s">
        <v>4</v>
      </c>
      <c r="E41" s="1">
        <v>8.6792796623037454</v>
      </c>
      <c r="F41" s="1">
        <v>54.134653345075769</v>
      </c>
      <c r="G41" s="1">
        <v>37.186066992620489</v>
      </c>
      <c r="H41" s="1">
        <v>8.5873003626263387</v>
      </c>
      <c r="I41" s="1">
        <v>49.803255921610976</v>
      </c>
      <c r="J41" s="1">
        <v>41.609443715762673</v>
      </c>
      <c r="K41">
        <v>21750.357142857141</v>
      </c>
      <c r="L41">
        <v>8411.3495130112315</v>
      </c>
      <c r="M41">
        <v>38.672236312099059</v>
      </c>
      <c r="N41" s="1">
        <v>78.333333333333329</v>
      </c>
      <c r="O41">
        <v>188.57142857142858</v>
      </c>
      <c r="P41" s="1">
        <v>54</v>
      </c>
    </row>
    <row r="42" spans="1:16" x14ac:dyDescent="0.25">
      <c r="A42" s="1">
        <v>469</v>
      </c>
      <c r="B42" s="1">
        <v>3</v>
      </c>
      <c r="C42" s="1">
        <v>16</v>
      </c>
      <c r="D42" s="1" t="s">
        <v>4</v>
      </c>
      <c r="E42" s="1">
        <v>6.3790078757791804</v>
      </c>
      <c r="F42" s="1">
        <v>59.120600201560222</v>
      </c>
      <c r="G42" s="1">
        <v>34.500391922660597</v>
      </c>
      <c r="H42" s="1">
        <v>5.7791882411892423</v>
      </c>
      <c r="I42" s="1">
        <v>54.309336896609317</v>
      </c>
      <c r="J42" s="1">
        <v>39.911474862201437</v>
      </c>
      <c r="K42">
        <v>22550.476190476191</v>
      </c>
      <c r="L42">
        <v>9956.4676218570039</v>
      </c>
      <c r="M42">
        <v>44.151917404129797</v>
      </c>
      <c r="N42" s="1">
        <v>80</v>
      </c>
      <c r="O42">
        <v>191.42857142857144</v>
      </c>
      <c r="P42" s="1">
        <v>49</v>
      </c>
    </row>
    <row r="43" spans="1:16" x14ac:dyDescent="0.25">
      <c r="A43" s="1">
        <v>470</v>
      </c>
      <c r="B43" s="1">
        <v>3</v>
      </c>
      <c r="C43" s="1">
        <v>17</v>
      </c>
      <c r="D43" s="1" t="s">
        <v>4</v>
      </c>
      <c r="E43" s="1">
        <v>7.6291424022791068</v>
      </c>
      <c r="F43" s="1">
        <v>47.102936863714447</v>
      </c>
      <c r="G43" s="1">
        <v>45.267920734006452</v>
      </c>
      <c r="H43" s="1">
        <v>7.4178698472483786</v>
      </c>
      <c r="I43" s="1">
        <v>41.630048127223269</v>
      </c>
      <c r="J43" s="1">
        <v>50.952082025528355</v>
      </c>
      <c r="K43">
        <v>17245.761904761905</v>
      </c>
      <c r="L43">
        <v>6777.1972817085043</v>
      </c>
      <c r="M43">
        <v>39.297755118822458</v>
      </c>
      <c r="N43" s="1">
        <v>62.666666666666664</v>
      </c>
      <c r="O43">
        <v>202.85714285714286</v>
      </c>
      <c r="P43" s="1">
        <v>55</v>
      </c>
    </row>
    <row r="44" spans="1:16" x14ac:dyDescent="0.25">
      <c r="A44" s="1">
        <v>471</v>
      </c>
      <c r="B44" s="1">
        <v>3</v>
      </c>
      <c r="C44" s="1">
        <v>14</v>
      </c>
      <c r="D44" s="1" t="s">
        <v>4</v>
      </c>
      <c r="E44" s="1">
        <v>8.1363898372722048</v>
      </c>
      <c r="F44" s="1">
        <v>58.045492839090151</v>
      </c>
      <c r="G44" s="1">
        <v>33.818117323637651</v>
      </c>
      <c r="H44" s="1">
        <v>7.545873810224708</v>
      </c>
      <c r="I44" s="1">
        <v>52.703365714846441</v>
      </c>
      <c r="J44" s="1">
        <v>39.75076047492886</v>
      </c>
      <c r="K44">
        <v>25307.476190476187</v>
      </c>
      <c r="L44">
        <v>11255.498379032155</v>
      </c>
      <c r="M44">
        <v>44.474993453783711</v>
      </c>
      <c r="N44" s="1">
        <v>86</v>
      </c>
      <c r="O44">
        <v>200</v>
      </c>
      <c r="P44" s="1">
        <v>47</v>
      </c>
    </row>
    <row r="45" spans="1:16" x14ac:dyDescent="0.25">
      <c r="A45" s="1">
        <v>472</v>
      </c>
      <c r="B45" s="1">
        <v>3</v>
      </c>
      <c r="C45" s="1">
        <v>7</v>
      </c>
      <c r="D45" s="1" t="s">
        <v>5</v>
      </c>
      <c r="E45" s="1">
        <v>3.7073629734180193</v>
      </c>
      <c r="F45" s="1">
        <v>53.385085862150085</v>
      </c>
      <c r="G45" s="1">
        <v>42.907551164431894</v>
      </c>
      <c r="H45" s="1">
        <v>3.117244117939046</v>
      </c>
      <c r="I45" s="1">
        <v>49.786558125682525</v>
      </c>
      <c r="J45" s="1">
        <v>47.096197756378437</v>
      </c>
      <c r="K45">
        <v>22899.761904761905</v>
      </c>
      <c r="L45">
        <v>10586.016597827745</v>
      </c>
      <c r="M45">
        <v>46.227627351996311</v>
      </c>
      <c r="N45" s="1">
        <v>45</v>
      </c>
    </row>
    <row r="46" spans="1:16" x14ac:dyDescent="0.25">
      <c r="A46" s="1">
        <v>473</v>
      </c>
      <c r="B46" s="1">
        <v>3</v>
      </c>
      <c r="C46" s="1">
        <v>4</v>
      </c>
      <c r="D46" s="1" t="s">
        <v>5</v>
      </c>
      <c r="E46" s="1">
        <v>7.2737175678352157</v>
      </c>
      <c r="F46" s="1">
        <v>59.031491384432563</v>
      </c>
      <c r="G46" s="1">
        <v>33.694791047732224</v>
      </c>
      <c r="H46" s="1">
        <v>6.5759869093884236</v>
      </c>
      <c r="I46" s="1">
        <v>54.152178359582734</v>
      </c>
      <c r="J46" s="1">
        <v>39.271834731028839</v>
      </c>
      <c r="K46">
        <v>16201.476190476189</v>
      </c>
      <c r="L46">
        <v>7742.0601207348336</v>
      </c>
      <c r="M46">
        <v>47.786140162251975</v>
      </c>
      <c r="N46" s="1">
        <v>63.333333333333336</v>
      </c>
      <c r="P46" s="1">
        <v>55</v>
      </c>
    </row>
    <row r="47" spans="1:16" x14ac:dyDescent="0.25">
      <c r="A47" s="1">
        <v>474</v>
      </c>
      <c r="B47" s="1">
        <v>3</v>
      </c>
      <c r="C47" s="1">
        <v>19</v>
      </c>
      <c r="D47" s="1" t="s">
        <v>4</v>
      </c>
      <c r="E47" s="1">
        <v>7.365532381997804</v>
      </c>
      <c r="F47" s="1">
        <v>57.149652396633734</v>
      </c>
      <c r="G47" s="1">
        <v>35.484815221368457</v>
      </c>
      <c r="H47" s="1">
        <v>7.1354971664090678</v>
      </c>
      <c r="I47" s="1">
        <v>51.167782929761294</v>
      </c>
      <c r="J47" s="1">
        <v>41.696719903829639</v>
      </c>
      <c r="K47">
        <v>17808.833333333336</v>
      </c>
      <c r="L47">
        <v>7414.88230667477</v>
      </c>
      <c r="M47">
        <v>41.635980122269487</v>
      </c>
      <c r="N47" s="1">
        <v>69</v>
      </c>
      <c r="O47">
        <v>208.57142857142858</v>
      </c>
      <c r="P47" s="1">
        <v>50</v>
      </c>
    </row>
    <row r="48" spans="1:16" x14ac:dyDescent="0.25">
      <c r="A48" s="1">
        <v>475</v>
      </c>
      <c r="B48" s="1">
        <v>3</v>
      </c>
      <c r="C48" s="1">
        <v>5</v>
      </c>
      <c r="D48" s="1" t="s">
        <v>5</v>
      </c>
      <c r="E48" s="1">
        <v>6.5441705803709169</v>
      </c>
      <c r="F48" s="1">
        <v>52.356792705083819</v>
      </c>
      <c r="G48" s="1">
        <v>41.099036714545271</v>
      </c>
      <c r="H48" s="1">
        <v>6.2727935813274991</v>
      </c>
      <c r="I48" s="1">
        <v>46.53537563822028</v>
      </c>
      <c r="J48" s="1">
        <v>47.191830780452229</v>
      </c>
      <c r="K48">
        <v>18342.38095238095</v>
      </c>
      <c r="L48">
        <v>7449.8564375058768</v>
      </c>
      <c r="M48">
        <v>40.615536537195524</v>
      </c>
      <c r="N48" s="1">
        <v>69.666666666666671</v>
      </c>
      <c r="O48">
        <v>228.57142857142858</v>
      </c>
      <c r="P48" s="1">
        <v>56</v>
      </c>
    </row>
    <row r="49" spans="1:16" x14ac:dyDescent="0.25">
      <c r="A49" s="1">
        <v>476</v>
      </c>
      <c r="B49" s="1">
        <v>3</v>
      </c>
      <c r="C49" s="1">
        <v>20</v>
      </c>
      <c r="D49" s="1" t="s">
        <v>4</v>
      </c>
      <c r="E49" s="1">
        <v>10.032351989647365</v>
      </c>
      <c r="F49" s="1">
        <v>57.085085732772569</v>
      </c>
      <c r="G49" s="1">
        <v>32.882562277580071</v>
      </c>
      <c r="H49" s="1">
        <v>10.503015037020075</v>
      </c>
      <c r="I49" s="1">
        <v>52.805129379436679</v>
      </c>
      <c r="J49" s="1">
        <v>36.691855583543237</v>
      </c>
      <c r="K49">
        <v>25027.166666666668</v>
      </c>
      <c r="L49">
        <v>10528.91398799011</v>
      </c>
      <c r="M49">
        <v>42.069939950547514</v>
      </c>
      <c r="N49" s="1">
        <v>84.333333333333329</v>
      </c>
      <c r="O49">
        <v>202.85714285714286</v>
      </c>
      <c r="P49" s="1">
        <v>52</v>
      </c>
    </row>
    <row r="50" spans="1:16" x14ac:dyDescent="0.25">
      <c r="A50" s="1">
        <v>477</v>
      </c>
      <c r="B50" s="1">
        <v>3</v>
      </c>
      <c r="C50" s="1">
        <v>1</v>
      </c>
      <c r="D50" s="1" t="s">
        <v>5</v>
      </c>
      <c r="E50" s="1">
        <v>5.918267302464459</v>
      </c>
      <c r="F50" s="1">
        <v>59.668434422211327</v>
      </c>
      <c r="G50" s="1">
        <v>34.413298275324209</v>
      </c>
      <c r="H50" s="1">
        <v>6.0420973501221562</v>
      </c>
      <c r="I50" s="1">
        <v>58.466453674121396</v>
      </c>
      <c r="J50" s="1">
        <v>35.491448975756434</v>
      </c>
      <c r="K50">
        <v>14355.95238095238</v>
      </c>
      <c r="L50">
        <v>6656.9082892416227</v>
      </c>
      <c r="M50">
        <v>46.370370370370381</v>
      </c>
      <c r="N50" s="1">
        <v>50</v>
      </c>
      <c r="P50" s="1">
        <v>56</v>
      </c>
    </row>
    <row r="51" spans="1:16" x14ac:dyDescent="0.25">
      <c r="A51" s="1">
        <v>478</v>
      </c>
      <c r="B51" s="1">
        <v>3</v>
      </c>
      <c r="C51" s="1">
        <v>10</v>
      </c>
      <c r="D51" s="1" t="s">
        <v>5</v>
      </c>
      <c r="E51" s="1">
        <v>7.6045456587162548</v>
      </c>
      <c r="F51" s="1">
        <v>52.679333423168487</v>
      </c>
      <c r="G51" s="1">
        <v>39.716120918115259</v>
      </c>
      <c r="H51" s="1">
        <v>6.74289064790384</v>
      </c>
      <c r="I51" s="1">
        <v>46.594351607544219</v>
      </c>
      <c r="J51" s="1">
        <v>46.662757744551939</v>
      </c>
      <c r="K51">
        <v>16735.523809523809</v>
      </c>
      <c r="L51">
        <v>7480.9809166021805</v>
      </c>
      <c r="M51">
        <v>44.701205661366409</v>
      </c>
      <c r="N51" s="1">
        <v>53.333333333333336</v>
      </c>
      <c r="P51" s="1">
        <v>56</v>
      </c>
    </row>
    <row r="52" spans="1:16" x14ac:dyDescent="0.25">
      <c r="A52" s="1">
        <v>479</v>
      </c>
      <c r="B52" s="1">
        <v>3</v>
      </c>
      <c r="C52" s="1">
        <v>18</v>
      </c>
      <c r="D52" s="1" t="s">
        <v>4</v>
      </c>
      <c r="E52" s="1">
        <v>11.026720351390923</v>
      </c>
      <c r="F52" s="1">
        <v>59.892020497803813</v>
      </c>
      <c r="G52" s="1">
        <v>29.081259150805273</v>
      </c>
      <c r="H52" s="1">
        <v>10.482092217204075</v>
      </c>
      <c r="I52" s="1">
        <v>54.269509505304057</v>
      </c>
      <c r="J52" s="1">
        <v>35.248398277491859</v>
      </c>
      <c r="K52">
        <v>26724.738095238092</v>
      </c>
      <c r="L52">
        <v>11339.46394245563</v>
      </c>
      <c r="M52">
        <v>42.430589598466959</v>
      </c>
      <c r="N52" s="1">
        <v>86.666666666666671</v>
      </c>
      <c r="O52">
        <v>265.71428571428572</v>
      </c>
      <c r="P52" s="1">
        <v>48</v>
      </c>
    </row>
    <row r="53" spans="1:16" x14ac:dyDescent="0.25">
      <c r="A53" s="1">
        <v>480</v>
      </c>
      <c r="B53" s="1">
        <v>3</v>
      </c>
      <c r="C53" s="1">
        <v>8</v>
      </c>
      <c r="D53" s="1" t="s">
        <v>5</v>
      </c>
      <c r="E53" s="1">
        <v>12.244897959183671</v>
      </c>
      <c r="F53" s="1">
        <v>53.841536614645847</v>
      </c>
      <c r="G53" s="1">
        <v>33.913565426170464</v>
      </c>
      <c r="H53" s="1">
        <v>12.110195508159638</v>
      </c>
      <c r="I53" s="1">
        <v>49.046695750525124</v>
      </c>
      <c r="J53" s="1">
        <v>38.843108741315241</v>
      </c>
      <c r="K53">
        <v>16849.023809523809</v>
      </c>
      <c r="L53">
        <v>7540.3021336377205</v>
      </c>
      <c r="M53">
        <v>44.752160237174152</v>
      </c>
      <c r="N53" s="1">
        <v>59.333333333333336</v>
      </c>
      <c r="O53">
        <v>308.57142857142861</v>
      </c>
      <c r="P53" s="1">
        <v>55</v>
      </c>
    </row>
    <row r="54" spans="1:16" x14ac:dyDescent="0.25">
      <c r="A54" s="1">
        <v>481</v>
      </c>
      <c r="B54" s="1">
        <v>3</v>
      </c>
      <c r="C54" s="1">
        <v>11</v>
      </c>
      <c r="D54" s="1" t="s">
        <v>4</v>
      </c>
      <c r="E54" s="1">
        <v>8.4677908528448373</v>
      </c>
      <c r="F54" s="1">
        <v>57.867281329613007</v>
      </c>
      <c r="G54" s="1">
        <v>33.664927817542157</v>
      </c>
      <c r="H54" s="1">
        <v>9.0330223604323994</v>
      </c>
      <c r="I54" s="1">
        <v>53.613208944172953</v>
      </c>
      <c r="J54" s="1">
        <v>37.353768695394642</v>
      </c>
      <c r="K54">
        <v>26519.071428571428</v>
      </c>
      <c r="L54">
        <v>10596.330839746923</v>
      </c>
      <c r="M54">
        <v>39.957397710126919</v>
      </c>
      <c r="N54" s="1">
        <v>81.666666666666671</v>
      </c>
      <c r="O54">
        <v>340</v>
      </c>
      <c r="P54" s="1">
        <v>53</v>
      </c>
    </row>
    <row r="55" spans="1:16" x14ac:dyDescent="0.25">
      <c r="A55" s="1">
        <v>482</v>
      </c>
      <c r="B55" s="1">
        <v>3</v>
      </c>
      <c r="C55" s="1">
        <v>9</v>
      </c>
      <c r="D55" s="1" t="s">
        <v>5</v>
      </c>
      <c r="E55" s="1">
        <v>11.505607060442898</v>
      </c>
      <c r="F55" s="1">
        <v>48.516254402655768</v>
      </c>
      <c r="G55" s="1">
        <v>39.978138536901341</v>
      </c>
      <c r="H55" s="1">
        <v>10.948551496947969</v>
      </c>
      <c r="I55" s="1">
        <v>44.317411103575232</v>
      </c>
      <c r="J55" s="1">
        <v>44.734037399476797</v>
      </c>
      <c r="K55">
        <v>22985.785714285714</v>
      </c>
      <c r="L55">
        <v>9338.9085681668639</v>
      </c>
      <c r="M55">
        <v>40.6290595598945</v>
      </c>
      <c r="N55" s="1">
        <v>69.333333333333329</v>
      </c>
      <c r="O55">
        <v>268.57142857142861</v>
      </c>
      <c r="P55" s="1">
        <v>57</v>
      </c>
    </row>
    <row r="56" spans="1:16" x14ac:dyDescent="0.25">
      <c r="A56" s="1">
        <v>483</v>
      </c>
      <c r="B56" s="1">
        <v>3</v>
      </c>
      <c r="C56" s="1">
        <v>13</v>
      </c>
      <c r="D56" s="1" t="s">
        <v>4</v>
      </c>
      <c r="E56" s="1">
        <v>8.6125057051574618</v>
      </c>
      <c r="F56" s="1">
        <v>61.428571428571423</v>
      </c>
      <c r="G56" s="1">
        <v>29.958922866271102</v>
      </c>
      <c r="H56" s="1">
        <v>8.6392636753477667</v>
      </c>
      <c r="I56" s="1">
        <v>56.217968831712163</v>
      </c>
      <c r="J56" s="1">
        <v>35.142767492940067</v>
      </c>
      <c r="K56">
        <v>21489.952380952382</v>
      </c>
      <c r="L56">
        <v>9100.2495665818788</v>
      </c>
      <c r="M56">
        <v>42.346532022322606</v>
      </c>
      <c r="N56" s="1">
        <v>80.333333333333329</v>
      </c>
      <c r="O56">
        <v>257.14285714285717</v>
      </c>
      <c r="P56" s="1">
        <v>48</v>
      </c>
    </row>
    <row r="57" spans="1:16" x14ac:dyDescent="0.25">
      <c r="A57" s="1">
        <v>484</v>
      </c>
      <c r="B57" s="1">
        <v>3</v>
      </c>
      <c r="C57" s="1">
        <v>6</v>
      </c>
      <c r="D57" s="1" t="s">
        <v>5</v>
      </c>
      <c r="E57" s="1">
        <v>2.5457580635545218</v>
      </c>
      <c r="F57" s="1">
        <v>57.270613485959579</v>
      </c>
      <c r="G57" s="1">
        <v>40.183628450485898</v>
      </c>
      <c r="H57" s="1">
        <v>1.9095725021559702</v>
      </c>
      <c r="I57" s="1">
        <v>48.66329924849083</v>
      </c>
      <c r="J57" s="1">
        <v>49.427128249353217</v>
      </c>
      <c r="K57">
        <v>13272.880952380952</v>
      </c>
      <c r="L57">
        <v>6170.0919014074889</v>
      </c>
      <c r="M57">
        <v>46.486455529465651</v>
      </c>
      <c r="N57" s="1">
        <v>51.666666666666664</v>
      </c>
    </row>
    <row r="58" spans="1:16" x14ac:dyDescent="0.25">
      <c r="A58" s="1">
        <v>485</v>
      </c>
      <c r="B58" s="1">
        <v>3</v>
      </c>
      <c r="C58" s="1">
        <v>3</v>
      </c>
      <c r="D58" s="1" t="s">
        <v>5</v>
      </c>
      <c r="E58" s="1">
        <v>8.2852963950787242</v>
      </c>
      <c r="F58" s="1">
        <v>56.332272218876369</v>
      </c>
      <c r="G58" s="1">
        <v>35.382431386044914</v>
      </c>
      <c r="H58" s="1">
        <v>7.2166666666666668</v>
      </c>
      <c r="I58" s="1">
        <v>48.449999999999996</v>
      </c>
      <c r="J58" s="1">
        <v>44.333333333333336</v>
      </c>
      <c r="K58">
        <v>11045.809523809521</v>
      </c>
      <c r="L58">
        <v>5540.449518714021</v>
      </c>
      <c r="M58">
        <v>50.158836314997487</v>
      </c>
      <c r="N58" s="1">
        <v>55.333333333333336</v>
      </c>
      <c r="O58">
        <v>182.85714285714286</v>
      </c>
      <c r="P58" s="1">
        <v>55</v>
      </c>
    </row>
    <row r="59" spans="1:16" x14ac:dyDescent="0.25">
      <c r="A59" s="1">
        <v>486</v>
      </c>
      <c r="B59" s="1">
        <v>3</v>
      </c>
      <c r="C59" s="1">
        <v>2</v>
      </c>
      <c r="D59" s="1" t="s">
        <v>5</v>
      </c>
      <c r="E59" s="1">
        <v>8.4930313588850161</v>
      </c>
      <c r="F59" s="1">
        <v>58.022648083623693</v>
      </c>
      <c r="G59" s="1">
        <v>33.484320557491287</v>
      </c>
      <c r="H59" s="1">
        <v>8.4511160931864708</v>
      </c>
      <c r="I59" s="1">
        <v>50.696949020372351</v>
      </c>
      <c r="J59" s="1">
        <v>40.851934886441171</v>
      </c>
      <c r="K59">
        <v>19137.142857142855</v>
      </c>
      <c r="L59">
        <v>8262.9607984607974</v>
      </c>
      <c r="M59">
        <v>43.177609427609426</v>
      </c>
      <c r="N59" s="1">
        <v>67.333333333333329</v>
      </c>
      <c r="O59">
        <v>194.28571428571431</v>
      </c>
      <c r="P59" s="1">
        <v>55</v>
      </c>
    </row>
    <row r="60" spans="1:16" x14ac:dyDescent="0.25">
      <c r="A60" s="1">
        <v>487</v>
      </c>
      <c r="B60" s="1">
        <v>3</v>
      </c>
      <c r="C60" s="1">
        <v>12</v>
      </c>
      <c r="D60" s="1" t="s">
        <v>4</v>
      </c>
      <c r="E60" s="1">
        <v>7.5674129175309339</v>
      </c>
      <c r="F60" s="1">
        <v>68.517988698948571</v>
      </c>
      <c r="G60" s="1">
        <v>23.914598383520495</v>
      </c>
      <c r="H60" s="1">
        <v>6.8833496252851081</v>
      </c>
      <c r="I60" s="1">
        <v>64.858260019550343</v>
      </c>
      <c r="J60" s="1">
        <v>28.258390355164547</v>
      </c>
      <c r="K60">
        <v>23057</v>
      </c>
      <c r="L60">
        <v>9968.5754736916242</v>
      </c>
      <c r="M60">
        <v>43.234486159047684</v>
      </c>
      <c r="N60" s="1">
        <v>91.666666666666671</v>
      </c>
      <c r="O60">
        <v>234.28571428571431</v>
      </c>
      <c r="P60" s="1">
        <v>49</v>
      </c>
    </row>
    <row r="61" spans="1:16" x14ac:dyDescent="0.25">
      <c r="A61" s="1">
        <v>488</v>
      </c>
      <c r="B61" s="1">
        <v>3</v>
      </c>
      <c r="C61" s="1">
        <v>15</v>
      </c>
      <c r="D61" s="1" t="s">
        <v>4</v>
      </c>
      <c r="E61" s="1">
        <v>9.1759710646328045</v>
      </c>
      <c r="F61" s="1">
        <v>60.599150809875766</v>
      </c>
      <c r="G61" s="1">
        <v>30.224878125491429</v>
      </c>
      <c r="H61" s="1">
        <v>7.9754601226993875</v>
      </c>
      <c r="I61" s="1">
        <v>53.026032167136449</v>
      </c>
      <c r="J61" s="1">
        <v>38.998507710164148</v>
      </c>
      <c r="K61">
        <v>20139.499999999996</v>
      </c>
      <c r="L61">
        <v>9394.1238640318625</v>
      </c>
      <c r="M61">
        <v>46.645268571870524</v>
      </c>
      <c r="N61" s="1">
        <v>82.333333333333329</v>
      </c>
      <c r="O61">
        <v>214.28571428571431</v>
      </c>
      <c r="P61" s="1">
        <v>52</v>
      </c>
    </row>
    <row r="62" spans="1:16" x14ac:dyDescent="0.25">
      <c r="A62" s="1">
        <v>489</v>
      </c>
      <c r="B62" s="1">
        <v>4</v>
      </c>
      <c r="C62" s="1">
        <v>17</v>
      </c>
      <c r="D62" s="1" t="s">
        <v>4</v>
      </c>
      <c r="E62" s="1">
        <v>9.7538956706048605</v>
      </c>
      <c r="F62" s="1">
        <v>53.526710366212669</v>
      </c>
      <c r="G62" s="1">
        <v>36.719393963182476</v>
      </c>
      <c r="H62" s="1">
        <v>9.0355891572930105</v>
      </c>
      <c r="I62" s="1">
        <v>46.284344458786649</v>
      </c>
      <c r="J62" s="1">
        <v>44.680066383920334</v>
      </c>
      <c r="K62">
        <v>21571.071428571428</v>
      </c>
      <c r="L62">
        <v>9003.6498254487469</v>
      </c>
      <c r="M62">
        <v>41.739465076005388</v>
      </c>
      <c r="N62" s="1">
        <v>80.333333333333329</v>
      </c>
      <c r="O62">
        <v>208.57142857142858</v>
      </c>
      <c r="P62" s="1">
        <v>54</v>
      </c>
    </row>
    <row r="63" spans="1:16" x14ac:dyDescent="0.25">
      <c r="A63" s="1">
        <v>490</v>
      </c>
      <c r="B63" s="1">
        <v>4</v>
      </c>
      <c r="C63" s="1">
        <v>10</v>
      </c>
      <c r="D63" s="1" t="s">
        <v>5</v>
      </c>
      <c r="E63" s="1">
        <v>7.8882650457055368</v>
      </c>
      <c r="F63" s="1">
        <v>46.067467866920332</v>
      </c>
      <c r="G63" s="1">
        <v>46.044267087374138</v>
      </c>
      <c r="H63" s="1">
        <v>6.9959277435522607</v>
      </c>
      <c r="I63" s="1">
        <v>37.903310013574185</v>
      </c>
      <c r="J63" s="1">
        <v>55.100762242873543</v>
      </c>
      <c r="K63">
        <v>15761.40476190476</v>
      </c>
      <c r="L63">
        <v>6867.7816736321874</v>
      </c>
      <c r="M63">
        <v>43.57341098321124</v>
      </c>
      <c r="N63" s="1">
        <v>46.666666666666664</v>
      </c>
    </row>
    <row r="64" spans="1:16" x14ac:dyDescent="0.25">
      <c r="A64" s="1">
        <v>491</v>
      </c>
      <c r="B64" s="1">
        <v>4</v>
      </c>
      <c r="C64" s="1">
        <v>12</v>
      </c>
      <c r="D64" s="1" t="s">
        <v>4</v>
      </c>
      <c r="E64" s="1">
        <v>8.3266715697246827</v>
      </c>
      <c r="F64" s="1">
        <v>62.075912128673295</v>
      </c>
      <c r="G64" s="1">
        <v>29.597416301602021</v>
      </c>
      <c r="H64" s="1">
        <v>7.8831149712939812</v>
      </c>
      <c r="I64" s="1">
        <v>57.794788753128223</v>
      </c>
      <c r="J64" s="1">
        <v>34.322096275577806</v>
      </c>
      <c r="K64">
        <v>31714.380952380958</v>
      </c>
      <c r="L64">
        <v>13463.053981347568</v>
      </c>
      <c r="M64">
        <v>42.450943632045984</v>
      </c>
      <c r="N64" s="1">
        <v>96.666666666666671</v>
      </c>
      <c r="O64">
        <v>197.14285714285717</v>
      </c>
      <c r="P64" s="1">
        <v>46</v>
      </c>
    </row>
    <row r="65" spans="1:16" x14ac:dyDescent="0.25">
      <c r="A65" s="1">
        <v>492</v>
      </c>
      <c r="B65" s="1">
        <v>4</v>
      </c>
      <c r="C65" s="1">
        <v>5</v>
      </c>
      <c r="D65" s="1" t="s">
        <v>5</v>
      </c>
      <c r="E65" s="1">
        <v>7.2851011175128573</v>
      </c>
      <c r="F65" s="1">
        <v>54.69626077877885</v>
      </c>
      <c r="G65" s="1">
        <v>38.018638103708277</v>
      </c>
      <c r="H65" s="1">
        <v>6.8498037816625041</v>
      </c>
      <c r="I65" s="1">
        <v>48.439172315376382</v>
      </c>
      <c r="J65" s="1">
        <v>44.711023902961109</v>
      </c>
      <c r="K65">
        <v>17297.190476190473</v>
      </c>
      <c r="L65">
        <v>7323.3177108620039</v>
      </c>
      <c r="M65">
        <v>42.338191979457747</v>
      </c>
      <c r="N65" s="1">
        <v>67.666666666666671</v>
      </c>
      <c r="O65">
        <v>171.42857142857144</v>
      </c>
      <c r="P65" s="1">
        <v>57</v>
      </c>
    </row>
    <row r="66" spans="1:16" x14ac:dyDescent="0.25">
      <c r="A66" s="1">
        <v>493</v>
      </c>
      <c r="B66" s="1">
        <v>4</v>
      </c>
      <c r="C66" s="1">
        <v>14</v>
      </c>
      <c r="D66" s="1" t="s">
        <v>4</v>
      </c>
      <c r="E66" s="1">
        <v>7.293000206483585</v>
      </c>
      <c r="F66" s="1">
        <v>56.721040677266167</v>
      </c>
      <c r="G66" s="1">
        <v>35.985959116250257</v>
      </c>
      <c r="H66" s="1">
        <v>6.6956367506207881</v>
      </c>
      <c r="I66" s="1">
        <v>47.286271727562962</v>
      </c>
      <c r="J66" s="1">
        <v>46.018091521816245</v>
      </c>
      <c r="K66">
        <v>22968.809523809523</v>
      </c>
      <c r="L66">
        <v>10489.926941696078</v>
      </c>
      <c r="M66">
        <v>45.670311867152691</v>
      </c>
      <c r="N66" s="1">
        <v>75</v>
      </c>
      <c r="O66">
        <v>165.71428571428572</v>
      </c>
      <c r="P66" s="1">
        <v>50</v>
      </c>
    </row>
    <row r="67" spans="1:16" x14ac:dyDescent="0.25">
      <c r="A67" s="1">
        <v>494</v>
      </c>
      <c r="B67" s="1">
        <v>4</v>
      </c>
      <c r="C67" s="1">
        <v>18</v>
      </c>
      <c r="D67" s="1" t="s">
        <v>4</v>
      </c>
      <c r="E67" s="1">
        <v>8.1967213114754109</v>
      </c>
      <c r="F67" s="1">
        <v>59.465173206735415</v>
      </c>
      <c r="G67" s="1">
        <v>32.338105481789178</v>
      </c>
      <c r="H67" s="1">
        <v>7.4667521230572005</v>
      </c>
      <c r="I67" s="1">
        <v>51.506168883191791</v>
      </c>
      <c r="J67" s="1">
        <v>41.02707899375099</v>
      </c>
      <c r="K67">
        <v>23522.785714285714</v>
      </c>
      <c r="L67">
        <v>10502.25028743121</v>
      </c>
      <c r="M67">
        <v>44.647136674178213</v>
      </c>
      <c r="N67" s="1">
        <v>75.666666666666671</v>
      </c>
      <c r="O67">
        <v>154.28571428571431</v>
      </c>
      <c r="P67" s="1">
        <v>50</v>
      </c>
    </row>
    <row r="68" spans="1:16" x14ac:dyDescent="0.25">
      <c r="A68" s="1">
        <v>495</v>
      </c>
      <c r="B68" s="1">
        <v>4</v>
      </c>
      <c r="C68" s="1">
        <v>3</v>
      </c>
      <c r="D68" s="1" t="s">
        <v>5</v>
      </c>
      <c r="E68" s="1">
        <v>15.675352349620548</v>
      </c>
      <c r="F68" s="1">
        <v>54.30483382556357</v>
      </c>
      <c r="G68" s="1">
        <v>30.019813824815877</v>
      </c>
      <c r="H68" s="1">
        <v>14.171040444581658</v>
      </c>
      <c r="I68" s="1">
        <v>47.800246989811676</v>
      </c>
      <c r="J68" s="1">
        <v>38.028712565606668</v>
      </c>
      <c r="K68">
        <v>25903.90476190476</v>
      </c>
      <c r="L68">
        <v>12001.537337120515</v>
      </c>
      <c r="M68">
        <v>46.330996996137898</v>
      </c>
      <c r="N68" s="1">
        <v>75.666666666666671</v>
      </c>
      <c r="O68">
        <v>260</v>
      </c>
      <c r="P68" s="1">
        <v>54</v>
      </c>
    </row>
    <row r="69" spans="1:16" x14ac:dyDescent="0.25">
      <c r="A69" s="1">
        <v>496</v>
      </c>
      <c r="B69" s="1">
        <v>4</v>
      </c>
      <c r="C69" s="1">
        <v>20</v>
      </c>
      <c r="D69" s="1" t="s">
        <v>4</v>
      </c>
      <c r="E69" s="1">
        <v>12.691197875437298</v>
      </c>
      <c r="F69" s="1">
        <v>53.964403360486202</v>
      </c>
      <c r="G69" s="1">
        <v>33.344398764076502</v>
      </c>
      <c r="H69" s="1">
        <v>12.008707219736364</v>
      </c>
      <c r="I69" s="1">
        <v>50.653041480227358</v>
      </c>
      <c r="J69" s="1">
        <v>37.338251300036276</v>
      </c>
      <c r="K69">
        <v>31431.523809523806</v>
      </c>
      <c r="L69">
        <v>12955.202391633553</v>
      </c>
      <c r="M69">
        <v>41.217226597547601</v>
      </c>
      <c r="N69" s="1">
        <v>91.333333333333329</v>
      </c>
      <c r="O69">
        <v>345.71428571428572</v>
      </c>
      <c r="P69" s="1">
        <v>50</v>
      </c>
    </row>
    <row r="70" spans="1:16" x14ac:dyDescent="0.25">
      <c r="A70" s="1">
        <v>497</v>
      </c>
      <c r="B70" s="1">
        <v>4</v>
      </c>
      <c r="C70" s="1">
        <v>13</v>
      </c>
      <c r="D70" s="1" t="s">
        <v>4</v>
      </c>
      <c r="E70" s="1">
        <v>11.934485896269335</v>
      </c>
      <c r="F70" s="1">
        <v>55.690627843494077</v>
      </c>
      <c r="G70" s="1">
        <v>32.374886260236579</v>
      </c>
      <c r="H70" s="1">
        <v>11.365142478462557</v>
      </c>
      <c r="I70" s="1">
        <v>50.969184890656059</v>
      </c>
      <c r="J70" s="1">
        <v>37.665672630881382</v>
      </c>
      <c r="K70">
        <v>26856.833333333336</v>
      </c>
      <c r="L70">
        <v>11584.510379819205</v>
      </c>
      <c r="M70">
        <v>43.134312359309682</v>
      </c>
      <c r="N70" s="1">
        <v>92</v>
      </c>
      <c r="O70">
        <v>268.57142857142861</v>
      </c>
      <c r="P70" s="1">
        <v>48</v>
      </c>
    </row>
    <row r="71" spans="1:16" x14ac:dyDescent="0.25">
      <c r="A71" s="1">
        <v>498</v>
      </c>
      <c r="B71" s="1">
        <v>4</v>
      </c>
      <c r="C71" s="1">
        <v>19</v>
      </c>
      <c r="D71" s="1" t="s">
        <v>4</v>
      </c>
      <c r="E71" s="1">
        <v>19.250852885887348</v>
      </c>
      <c r="F71" s="1">
        <v>54.922369978416775</v>
      </c>
      <c r="G71" s="1">
        <v>25.826777135695885</v>
      </c>
      <c r="H71" s="1">
        <v>17.904250122129948</v>
      </c>
      <c r="I71" s="1">
        <v>50.464093795798739</v>
      </c>
      <c r="J71" s="1">
        <v>31.631656082071324</v>
      </c>
      <c r="K71">
        <v>27358.214285714286</v>
      </c>
      <c r="L71">
        <v>11568.723975112511</v>
      </c>
      <c r="M71">
        <v>42.286107763814769</v>
      </c>
      <c r="N71" s="1">
        <v>89</v>
      </c>
      <c r="O71">
        <v>220</v>
      </c>
      <c r="P71" s="1">
        <v>47</v>
      </c>
    </row>
    <row r="72" spans="1:16" x14ac:dyDescent="0.25">
      <c r="A72" s="1">
        <v>499</v>
      </c>
      <c r="B72" s="1">
        <v>4</v>
      </c>
      <c r="C72" s="1">
        <v>15</v>
      </c>
      <c r="D72" s="1" t="s">
        <v>4</v>
      </c>
      <c r="E72" s="1">
        <v>11.340898909959684</v>
      </c>
      <c r="F72" s="1">
        <v>57.525757802000896</v>
      </c>
      <c r="G72" s="1">
        <v>31.133343288039423</v>
      </c>
      <c r="H72" s="1">
        <v>10.894322559035338</v>
      </c>
      <c r="I72" s="1">
        <v>51.498911405124773</v>
      </c>
      <c r="J72" s="1">
        <v>37.60676603583989</v>
      </c>
      <c r="K72">
        <v>26033.547619047618</v>
      </c>
      <c r="L72">
        <v>11605.667674580658</v>
      </c>
      <c r="M72">
        <v>44.57966253546364</v>
      </c>
      <c r="N72" s="1">
        <v>92.333333333333329</v>
      </c>
      <c r="O72">
        <v>268.57142857142861</v>
      </c>
      <c r="P72" s="1">
        <v>50</v>
      </c>
    </row>
    <row r="73" spans="1:16" x14ac:dyDescent="0.25">
      <c r="A73" s="1">
        <v>500</v>
      </c>
      <c r="B73" s="1">
        <v>4</v>
      </c>
      <c r="C73" s="1">
        <v>11</v>
      </c>
      <c r="D73" s="1" t="s">
        <v>4</v>
      </c>
      <c r="E73" s="1">
        <v>8.580679978413384</v>
      </c>
      <c r="F73" s="1">
        <v>59.291239431552448</v>
      </c>
      <c r="G73" s="1">
        <v>32.12808059003418</v>
      </c>
      <c r="H73" s="1">
        <v>8.6568496207050423</v>
      </c>
      <c r="I73" s="1">
        <v>56.58188308790718</v>
      </c>
      <c r="J73" s="1">
        <v>34.761267291387767</v>
      </c>
      <c r="K73">
        <v>25566.714285714286</v>
      </c>
      <c r="L73">
        <v>10170.109469431225</v>
      </c>
      <c r="M73">
        <v>39.778711318856871</v>
      </c>
      <c r="N73" s="1">
        <v>81.666666666666671</v>
      </c>
      <c r="O73">
        <v>297.14285714285717</v>
      </c>
      <c r="P73" s="1">
        <v>53</v>
      </c>
    </row>
    <row r="74" spans="1:16" x14ac:dyDescent="0.25">
      <c r="A74" s="1">
        <v>501</v>
      </c>
      <c r="B74" s="1">
        <v>4</v>
      </c>
      <c r="C74" s="1">
        <v>8</v>
      </c>
      <c r="D74" s="1" t="s">
        <v>5</v>
      </c>
      <c r="E74" s="1">
        <v>19.693438802638923</v>
      </c>
      <c r="F74" s="1">
        <v>50.497259329766642</v>
      </c>
      <c r="G74" s="1">
        <v>29.809301867594446</v>
      </c>
      <c r="H74" s="1">
        <v>19.30267413425889</v>
      </c>
      <c r="I74" s="1">
        <v>46.895953301254238</v>
      </c>
      <c r="J74" s="1">
        <v>33.801372564486861</v>
      </c>
      <c r="K74">
        <v>29785.119047619046</v>
      </c>
      <c r="L74">
        <v>12190.022733387141</v>
      </c>
      <c r="M74">
        <v>40.926553672316388</v>
      </c>
      <c r="N74" s="1">
        <v>81</v>
      </c>
      <c r="O74">
        <v>271.42857142857144</v>
      </c>
      <c r="P74" s="1">
        <v>50</v>
      </c>
    </row>
    <row r="75" spans="1:16" x14ac:dyDescent="0.25">
      <c r="A75" s="1">
        <v>502</v>
      </c>
      <c r="B75" s="1">
        <v>4</v>
      </c>
      <c r="C75" s="1">
        <v>2</v>
      </c>
      <c r="D75" s="1" t="s">
        <v>5</v>
      </c>
      <c r="E75" s="1">
        <v>17.740920789247927</v>
      </c>
      <c r="F75" s="1">
        <v>53.494423791821568</v>
      </c>
      <c r="G75" s="1">
        <v>28.764655418930513</v>
      </c>
      <c r="H75" s="1">
        <v>17.058660763696732</v>
      </c>
      <c r="I75" s="1">
        <v>50.166021029330373</v>
      </c>
      <c r="J75" s="1">
        <v>32.775318206972884</v>
      </c>
      <c r="K75">
        <v>26086.023809523806</v>
      </c>
      <c r="L75">
        <v>10588.817571967433</v>
      </c>
      <c r="M75">
        <v>40.591918681380399</v>
      </c>
      <c r="N75" s="1">
        <v>80.666666666666671</v>
      </c>
      <c r="O75">
        <v>242.85714285714286</v>
      </c>
      <c r="P75" s="1">
        <v>54</v>
      </c>
    </row>
    <row r="76" spans="1:16" x14ac:dyDescent="0.25">
      <c r="A76" s="1">
        <v>503</v>
      </c>
      <c r="B76" s="1">
        <v>4</v>
      </c>
      <c r="C76" s="1">
        <v>1</v>
      </c>
      <c r="D76" s="1" t="s">
        <v>5</v>
      </c>
      <c r="E76" s="1">
        <v>12.878439888086191</v>
      </c>
      <c r="F76" s="1">
        <v>55.451622332651276</v>
      </c>
      <c r="G76" s="1">
        <v>31.66993777926254</v>
      </c>
      <c r="H76" s="1">
        <v>11.718540979220549</v>
      </c>
      <c r="I76" s="1">
        <v>53.919557656291808</v>
      </c>
      <c r="J76" s="1">
        <v>34.36190136448765</v>
      </c>
      <c r="K76">
        <v>20105.61904761905</v>
      </c>
      <c r="L76">
        <v>9225.9087567913084</v>
      </c>
      <c r="M76">
        <v>45.887215583565229</v>
      </c>
      <c r="N76" s="1">
        <v>74.666666666666671</v>
      </c>
      <c r="O76">
        <v>208.57142857142858</v>
      </c>
      <c r="P76" s="1">
        <v>50</v>
      </c>
    </row>
    <row r="77" spans="1:16" x14ac:dyDescent="0.25">
      <c r="A77" s="1">
        <v>504</v>
      </c>
      <c r="B77" s="1">
        <v>4</v>
      </c>
      <c r="C77" s="1">
        <v>9</v>
      </c>
      <c r="D77" s="1" t="s">
        <v>5</v>
      </c>
      <c r="E77" s="1">
        <v>6.9891532540237931</v>
      </c>
      <c r="F77" s="1">
        <v>44.270468859342202</v>
      </c>
      <c r="G77" s="1">
        <v>48.740377886634015</v>
      </c>
      <c r="H77" s="1">
        <v>6.1766065649560788</v>
      </c>
      <c r="I77" s="1">
        <v>38.492834026814613</v>
      </c>
      <c r="J77" s="1">
        <v>55.330559408229306</v>
      </c>
      <c r="K77">
        <v>16756.809523809519</v>
      </c>
      <c r="L77">
        <v>7618.9731354578289</v>
      </c>
      <c r="M77">
        <v>45.467922307239547</v>
      </c>
      <c r="N77" s="1">
        <v>58</v>
      </c>
    </row>
    <row r="78" spans="1:16" x14ac:dyDescent="0.25">
      <c r="A78" s="1">
        <v>505</v>
      </c>
      <c r="B78" s="1">
        <v>4</v>
      </c>
      <c r="C78" s="1">
        <v>7</v>
      </c>
      <c r="D78" s="1" t="s">
        <v>5</v>
      </c>
      <c r="E78" s="1">
        <v>8.8218390804597711</v>
      </c>
      <c r="F78" s="1">
        <v>50.890804597701148</v>
      </c>
      <c r="G78" s="1">
        <v>40.287356321839077</v>
      </c>
      <c r="H78" s="1">
        <v>7.925801011804384</v>
      </c>
      <c r="I78" s="1">
        <v>46.741394702906454</v>
      </c>
      <c r="J78" s="1">
        <v>45.332804285289157</v>
      </c>
      <c r="K78">
        <v>21461.59523809524</v>
      </c>
      <c r="L78">
        <v>10116.161294021513</v>
      </c>
      <c r="M78">
        <v>47.136110721466309</v>
      </c>
      <c r="N78" s="1">
        <v>56</v>
      </c>
    </row>
    <row r="79" spans="1:16" x14ac:dyDescent="0.25">
      <c r="A79" s="1">
        <v>506</v>
      </c>
      <c r="B79" s="1">
        <v>4</v>
      </c>
      <c r="C79" s="1">
        <v>6</v>
      </c>
      <c r="D79" s="1" t="s">
        <v>5</v>
      </c>
      <c r="E79" s="1">
        <v>14.146696960603593</v>
      </c>
      <c r="F79" s="1">
        <v>49.247652934367906</v>
      </c>
      <c r="G79" s="1">
        <v>36.605650105028509</v>
      </c>
      <c r="H79" s="1">
        <v>12.522281639928698</v>
      </c>
      <c r="I79" s="1">
        <v>44.652406417112303</v>
      </c>
      <c r="J79" s="1">
        <v>42.825311942958997</v>
      </c>
      <c r="K79">
        <v>19156.309523809523</v>
      </c>
      <c r="L79">
        <v>8749.5946613939668</v>
      </c>
      <c r="M79">
        <v>45.674740484429059</v>
      </c>
      <c r="N79" s="1">
        <v>68.333333333333329</v>
      </c>
      <c r="O79">
        <v>185.71428571428572</v>
      </c>
      <c r="P79" s="1">
        <v>55</v>
      </c>
    </row>
    <row r="80" spans="1:16" x14ac:dyDescent="0.25">
      <c r="A80" s="1">
        <v>507</v>
      </c>
      <c r="B80" s="1">
        <v>4</v>
      </c>
      <c r="C80" s="1">
        <v>16</v>
      </c>
      <c r="D80" s="1" t="s">
        <v>4</v>
      </c>
      <c r="E80" s="1">
        <v>11.549277564081843</v>
      </c>
      <c r="F80" s="1">
        <v>57.901541843100489</v>
      </c>
      <c r="G80" s="1">
        <v>30.549180592817667</v>
      </c>
      <c r="H80" s="1">
        <v>10.800211177313525</v>
      </c>
      <c r="I80" s="1">
        <v>53.903009276717704</v>
      </c>
      <c r="J80" s="1">
        <v>35.296779545968782</v>
      </c>
      <c r="K80">
        <v>22178</v>
      </c>
      <c r="L80">
        <v>9342.2957809124382</v>
      </c>
      <c r="M80">
        <v>42.124158088702494</v>
      </c>
      <c r="N80" s="1">
        <v>90.666666666666671</v>
      </c>
      <c r="O80">
        <v>225.71428571428572</v>
      </c>
      <c r="P80" s="1">
        <v>50</v>
      </c>
    </row>
    <row r="81" spans="1:16" x14ac:dyDescent="0.25">
      <c r="A81" s="1">
        <v>508</v>
      </c>
      <c r="B81" s="1">
        <v>4</v>
      </c>
      <c r="C81" s="1">
        <v>4</v>
      </c>
      <c r="D81" s="1" t="s">
        <v>5</v>
      </c>
      <c r="E81" s="1">
        <v>17.061082482686185</v>
      </c>
      <c r="F81" s="1">
        <v>50.05415695670726</v>
      </c>
      <c r="G81" s="1">
        <v>32.884760560606566</v>
      </c>
      <c r="H81" s="1">
        <v>15.169293843217643</v>
      </c>
      <c r="I81" s="1">
        <v>46.002686081854812</v>
      </c>
      <c r="J81" s="1">
        <v>38.828020074927551</v>
      </c>
      <c r="K81">
        <v>21694.166666666664</v>
      </c>
      <c r="L81">
        <v>9850.9830150323633</v>
      </c>
      <c r="M81">
        <v>45.408441662654468</v>
      </c>
      <c r="N81" s="1">
        <v>84</v>
      </c>
      <c r="O81">
        <v>242.85714285714286</v>
      </c>
      <c r="P81" s="1">
        <v>53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6117-25CC-4B85-8376-532386DE2E19}">
  <dimension ref="A1:P19"/>
  <sheetViews>
    <sheetView workbookViewId="0">
      <selection activeCell="B19" sqref="B19"/>
    </sheetView>
  </sheetViews>
  <sheetFormatPr defaultRowHeight="15" x14ac:dyDescent="0.25"/>
  <sheetData>
    <row r="1" spans="1:16" ht="15.75" thickBot="1" x14ac:dyDescent="0.3">
      <c r="A1" s="26" t="s">
        <v>18</v>
      </c>
      <c r="B1" s="27"/>
      <c r="C1" s="27"/>
      <c r="D1" s="28"/>
      <c r="E1" s="26" t="s">
        <v>19</v>
      </c>
      <c r="F1" s="27"/>
      <c r="G1" s="27"/>
      <c r="H1" s="28"/>
      <c r="I1" s="26" t="s">
        <v>20</v>
      </c>
      <c r="J1" s="27"/>
      <c r="K1" s="27"/>
      <c r="L1" s="28"/>
      <c r="M1" s="26" t="s">
        <v>21</v>
      </c>
      <c r="N1" s="27"/>
      <c r="O1" s="27"/>
      <c r="P1" s="28"/>
    </row>
    <row r="2" spans="1:16" ht="15.75" thickBot="1" x14ac:dyDescent="0.3">
      <c r="A2" s="3" t="s">
        <v>0</v>
      </c>
      <c r="B2" s="4" t="s">
        <v>2</v>
      </c>
      <c r="C2" s="4" t="s">
        <v>0</v>
      </c>
      <c r="D2" s="6" t="s">
        <v>2</v>
      </c>
      <c r="E2" s="3" t="s">
        <v>0</v>
      </c>
      <c r="F2" s="4" t="s">
        <v>2</v>
      </c>
      <c r="G2" s="4" t="s">
        <v>0</v>
      </c>
      <c r="H2" s="5" t="s">
        <v>2</v>
      </c>
      <c r="I2" s="3" t="s">
        <v>0</v>
      </c>
      <c r="J2" s="4" t="s">
        <v>2</v>
      </c>
      <c r="K2" s="4" t="s">
        <v>0</v>
      </c>
      <c r="L2" s="5" t="s">
        <v>2</v>
      </c>
      <c r="M2" s="3" t="s">
        <v>0</v>
      </c>
      <c r="N2" s="4" t="s">
        <v>2</v>
      </c>
      <c r="O2" s="4" t="s">
        <v>0</v>
      </c>
      <c r="P2" s="5" t="s">
        <v>2</v>
      </c>
    </row>
    <row r="3" spans="1:16" x14ac:dyDescent="0.25">
      <c r="A3" s="7">
        <v>429</v>
      </c>
      <c r="B3" s="8">
        <v>19</v>
      </c>
      <c r="C3" s="9">
        <v>448</v>
      </c>
      <c r="D3" s="10">
        <v>5</v>
      </c>
      <c r="E3" s="7">
        <v>449</v>
      </c>
      <c r="F3" s="8">
        <v>3</v>
      </c>
      <c r="G3" s="9">
        <v>468</v>
      </c>
      <c r="H3" s="11">
        <v>17</v>
      </c>
      <c r="I3" s="12">
        <v>469</v>
      </c>
      <c r="J3" s="13">
        <v>16</v>
      </c>
      <c r="K3" s="14">
        <v>488</v>
      </c>
      <c r="L3" s="15">
        <v>15</v>
      </c>
      <c r="M3" s="12">
        <v>489</v>
      </c>
      <c r="N3" s="13">
        <v>17</v>
      </c>
      <c r="O3" s="14">
        <v>508</v>
      </c>
      <c r="P3" s="15">
        <v>4</v>
      </c>
    </row>
    <row r="4" spans="1:16" x14ac:dyDescent="0.25">
      <c r="A4" s="16">
        <v>430</v>
      </c>
      <c r="B4" s="17">
        <v>11</v>
      </c>
      <c r="C4" s="18">
        <v>447</v>
      </c>
      <c r="D4" s="19">
        <v>20</v>
      </c>
      <c r="E4" s="16">
        <v>450</v>
      </c>
      <c r="F4" s="17">
        <v>9</v>
      </c>
      <c r="G4" s="18">
        <v>467</v>
      </c>
      <c r="H4" s="20">
        <v>13</v>
      </c>
      <c r="I4" s="16">
        <v>470</v>
      </c>
      <c r="J4" s="17">
        <v>17</v>
      </c>
      <c r="K4" s="18">
        <v>487</v>
      </c>
      <c r="L4" s="19">
        <v>12</v>
      </c>
      <c r="M4" s="16">
        <v>490</v>
      </c>
      <c r="N4" s="17">
        <v>10</v>
      </c>
      <c r="O4" s="18">
        <v>507</v>
      </c>
      <c r="P4" s="19">
        <v>16</v>
      </c>
    </row>
    <row r="5" spans="1:16" x14ac:dyDescent="0.25">
      <c r="A5" s="16">
        <v>431</v>
      </c>
      <c r="B5" s="17">
        <v>2</v>
      </c>
      <c r="C5" s="18">
        <v>446</v>
      </c>
      <c r="D5" s="19">
        <v>18</v>
      </c>
      <c r="E5" s="16">
        <v>451</v>
      </c>
      <c r="F5" s="17">
        <v>7</v>
      </c>
      <c r="G5" s="18">
        <v>466</v>
      </c>
      <c r="H5" s="20">
        <v>6</v>
      </c>
      <c r="I5" s="16">
        <v>471</v>
      </c>
      <c r="J5" s="17">
        <v>14</v>
      </c>
      <c r="K5" s="18">
        <v>486</v>
      </c>
      <c r="L5" s="19">
        <v>2</v>
      </c>
      <c r="M5" s="16">
        <v>491</v>
      </c>
      <c r="N5" s="17">
        <v>12</v>
      </c>
      <c r="O5" s="18">
        <v>506</v>
      </c>
      <c r="P5" s="19">
        <v>6</v>
      </c>
    </row>
    <row r="6" spans="1:16" x14ac:dyDescent="0.25">
      <c r="A6" s="16">
        <v>432</v>
      </c>
      <c r="B6" s="17">
        <v>14</v>
      </c>
      <c r="C6" s="18">
        <v>445</v>
      </c>
      <c r="D6" s="19">
        <v>17</v>
      </c>
      <c r="E6" s="16">
        <v>452</v>
      </c>
      <c r="F6" s="17">
        <v>5</v>
      </c>
      <c r="G6" s="18">
        <v>465</v>
      </c>
      <c r="H6" s="20">
        <v>20</v>
      </c>
      <c r="I6" s="16">
        <v>472</v>
      </c>
      <c r="J6" s="17">
        <v>7</v>
      </c>
      <c r="K6" s="18">
        <v>485</v>
      </c>
      <c r="L6" s="19">
        <v>3</v>
      </c>
      <c r="M6" s="16">
        <v>492</v>
      </c>
      <c r="N6" s="17">
        <v>5</v>
      </c>
      <c r="O6" s="18">
        <v>505</v>
      </c>
      <c r="P6" s="19">
        <v>7</v>
      </c>
    </row>
    <row r="7" spans="1:16" x14ac:dyDescent="0.25">
      <c r="A7" s="16">
        <v>433</v>
      </c>
      <c r="B7" s="17">
        <v>8</v>
      </c>
      <c r="C7" s="18">
        <v>444</v>
      </c>
      <c r="D7" s="19">
        <v>15</v>
      </c>
      <c r="E7" s="16">
        <v>453</v>
      </c>
      <c r="F7" s="17">
        <v>19</v>
      </c>
      <c r="G7" s="18">
        <v>464</v>
      </c>
      <c r="H7" s="20">
        <v>8</v>
      </c>
      <c r="I7" s="16">
        <v>473</v>
      </c>
      <c r="J7" s="17">
        <v>4</v>
      </c>
      <c r="K7" s="18">
        <v>484</v>
      </c>
      <c r="L7" s="19">
        <v>6</v>
      </c>
      <c r="M7" s="16">
        <v>493</v>
      </c>
      <c r="N7" s="17">
        <v>14</v>
      </c>
      <c r="O7" s="18">
        <v>504</v>
      </c>
      <c r="P7" s="19">
        <v>9</v>
      </c>
    </row>
    <row r="8" spans="1:16" x14ac:dyDescent="0.25">
      <c r="A8" s="16">
        <v>434</v>
      </c>
      <c r="B8" s="17">
        <v>1</v>
      </c>
      <c r="C8" s="18">
        <v>443</v>
      </c>
      <c r="D8" s="19">
        <v>10</v>
      </c>
      <c r="E8" s="16">
        <v>454</v>
      </c>
      <c r="F8" s="17">
        <v>10</v>
      </c>
      <c r="G8" s="18">
        <v>463</v>
      </c>
      <c r="H8" s="20">
        <v>15</v>
      </c>
      <c r="I8" s="16">
        <v>474</v>
      </c>
      <c r="J8" s="17">
        <v>19</v>
      </c>
      <c r="K8" s="18">
        <v>483</v>
      </c>
      <c r="L8" s="19">
        <v>13</v>
      </c>
      <c r="M8" s="16">
        <v>494</v>
      </c>
      <c r="N8" s="17">
        <v>18</v>
      </c>
      <c r="O8" s="18">
        <v>503</v>
      </c>
      <c r="P8" s="19">
        <v>1</v>
      </c>
    </row>
    <row r="9" spans="1:16" x14ac:dyDescent="0.25">
      <c r="A9" s="16">
        <v>435</v>
      </c>
      <c r="B9" s="17">
        <v>16</v>
      </c>
      <c r="C9" s="18">
        <v>442</v>
      </c>
      <c r="D9" s="19">
        <v>4</v>
      </c>
      <c r="E9" s="16">
        <v>455</v>
      </c>
      <c r="F9" s="17">
        <v>16</v>
      </c>
      <c r="G9" s="18">
        <v>462</v>
      </c>
      <c r="H9" s="20">
        <v>4</v>
      </c>
      <c r="I9" s="16">
        <v>475</v>
      </c>
      <c r="J9" s="17">
        <v>5</v>
      </c>
      <c r="K9" s="18">
        <v>482</v>
      </c>
      <c r="L9" s="19">
        <v>9</v>
      </c>
      <c r="M9" s="16">
        <v>495</v>
      </c>
      <c r="N9" s="17">
        <v>3</v>
      </c>
      <c r="O9" s="18">
        <v>502</v>
      </c>
      <c r="P9" s="19">
        <v>2</v>
      </c>
    </row>
    <row r="10" spans="1:16" x14ac:dyDescent="0.25">
      <c r="A10" s="16">
        <v>436</v>
      </c>
      <c r="B10" s="17">
        <v>6</v>
      </c>
      <c r="C10" s="18">
        <v>441</v>
      </c>
      <c r="D10" s="19">
        <v>13</v>
      </c>
      <c r="E10" s="16">
        <v>456</v>
      </c>
      <c r="F10" s="17">
        <v>14</v>
      </c>
      <c r="G10" s="18">
        <v>461</v>
      </c>
      <c r="H10" s="20">
        <v>11</v>
      </c>
      <c r="I10" s="16">
        <v>476</v>
      </c>
      <c r="J10" s="17">
        <v>20</v>
      </c>
      <c r="K10" s="18">
        <v>481</v>
      </c>
      <c r="L10" s="19">
        <v>11</v>
      </c>
      <c r="M10" s="16">
        <v>496</v>
      </c>
      <c r="N10" s="17">
        <v>20</v>
      </c>
      <c r="O10" s="18">
        <v>501</v>
      </c>
      <c r="P10" s="19">
        <v>8</v>
      </c>
    </row>
    <row r="11" spans="1:16" x14ac:dyDescent="0.25">
      <c r="A11" s="16">
        <v>437</v>
      </c>
      <c r="B11" s="17">
        <v>9</v>
      </c>
      <c r="C11" s="18">
        <v>440</v>
      </c>
      <c r="D11" s="19">
        <v>7</v>
      </c>
      <c r="E11" s="16">
        <v>457</v>
      </c>
      <c r="F11" s="17">
        <v>1</v>
      </c>
      <c r="G11" s="18">
        <v>460</v>
      </c>
      <c r="H11" s="20">
        <v>12</v>
      </c>
      <c r="I11" s="16">
        <v>477</v>
      </c>
      <c r="J11" s="17">
        <v>1</v>
      </c>
      <c r="K11" s="18">
        <v>480</v>
      </c>
      <c r="L11" s="19">
        <v>8</v>
      </c>
      <c r="M11" s="16">
        <v>497</v>
      </c>
      <c r="N11" s="17">
        <v>13</v>
      </c>
      <c r="O11" s="18">
        <v>500</v>
      </c>
      <c r="P11" s="19">
        <v>11</v>
      </c>
    </row>
    <row r="12" spans="1:16" ht="15.75" thickBot="1" x14ac:dyDescent="0.3">
      <c r="A12" s="21">
        <v>438</v>
      </c>
      <c r="B12" s="22">
        <v>3</v>
      </c>
      <c r="C12" s="23">
        <v>439</v>
      </c>
      <c r="D12" s="24">
        <v>12</v>
      </c>
      <c r="E12" s="21">
        <v>458</v>
      </c>
      <c r="F12" s="22">
        <v>18</v>
      </c>
      <c r="G12" s="23">
        <v>459</v>
      </c>
      <c r="H12" s="25">
        <v>2</v>
      </c>
      <c r="I12" s="21">
        <v>478</v>
      </c>
      <c r="J12" s="22">
        <v>10</v>
      </c>
      <c r="K12" s="23">
        <v>479</v>
      </c>
      <c r="L12" s="24">
        <v>18</v>
      </c>
      <c r="M12" s="21">
        <v>498</v>
      </c>
      <c r="N12" s="22">
        <v>19</v>
      </c>
      <c r="O12" s="23">
        <v>499</v>
      </c>
      <c r="P12" s="24">
        <v>15</v>
      </c>
    </row>
    <row r="19" spans="2:2" x14ac:dyDescent="0.25">
      <c r="B19" t="s">
        <v>22</v>
      </c>
    </row>
  </sheetData>
  <mergeCells count="4">
    <mergeCell ref="A1:D1"/>
    <mergeCell ref="E1:H1"/>
    <mergeCell ref="I1:L1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Angelos Kyratzis</dc:creator>
  <cp:lastModifiedBy>Kolmer, T.S. (Tamino, Student B-CREA-VU)</cp:lastModifiedBy>
  <dcterms:created xsi:type="dcterms:W3CDTF">2025-09-30T11:58:11Z</dcterms:created>
  <dcterms:modified xsi:type="dcterms:W3CDTF">2026-05-31T20:17:25Z</dcterms:modified>
</cp:coreProperties>
</file>